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3_Arbeid og næringsliv/Landbruk/2024/"/>
    </mc:Choice>
  </mc:AlternateContent>
  <xr:revisionPtr revIDLastSave="32" documentId="8_{AD1CABEB-4C60-42A0-B42F-F6219B6EF403}" xr6:coauthVersionLast="47" xr6:coauthVersionMax="47" xr10:uidLastSave="{58B90CCC-1208-41F7-B8AE-6788D87307ED}"/>
  <bookViews>
    <workbookView minimized="1" xWindow="-21135" yWindow="3705" windowWidth="14400" windowHeight="817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I9" i="1"/>
  <c r="I8" i="1"/>
  <c r="I7" i="1"/>
  <c r="I6" i="1"/>
  <c r="I5" i="1"/>
  <c r="I4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<sst xmlns="http://schemas.openxmlformats.org/spreadsheetml/2006/main" count="16" uniqueCount="16">
  <si>
    <t>BÆR M.M.</t>
  </si>
  <si>
    <t>FRUKT</t>
  </si>
  <si>
    <t>GRØNNSAKER</t>
  </si>
  <si>
    <t>GROVFÔR</t>
  </si>
  <si>
    <t>KORN OG ANNET FRØ TIL MODNING</t>
  </si>
  <si>
    <t>POTET</t>
  </si>
  <si>
    <t>Kommune</t>
  </si>
  <si>
    <t>FÆRDER</t>
  </si>
  <si>
    <t>HOLMESTRAND</t>
  </si>
  <si>
    <t>HORTEN</t>
  </si>
  <si>
    <t>LARVIK</t>
  </si>
  <si>
    <t>SANDEFJORD</t>
  </si>
  <si>
    <t>TØNSBERG</t>
  </si>
  <si>
    <t>Antall dekar i de ulike vekstgruppene for Vestfold 2024 PT-912</t>
  </si>
  <si>
    <t>Totalt</t>
  </si>
  <si>
    <t xml:space="preserve">Larvik potet: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</si>
</sst>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top"/>
    </xf>
    <xf numFmtId="9" fontId="0" fillId="0" borderId="0" xfId="1" applyFont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N4" sqref="N4"/>
    </sheetView>
  </sheetViews>
  <sheetFormatPr baseColWidth="10" defaultRowHeight="14.5" x14ac:dyDescent="0.35"/>
  <cols>
    <col min="1" max="1" width="17.81640625" customWidth="1"/>
  </cols>
  <sheetData>
    <row r="1" spans="1:14" x14ac:dyDescent="0.35">
      <c r="A1" t="s">
        <v>13</v>
      </c>
    </row>
    <row r="3" spans="1:14" x14ac:dyDescent="0.35">
      <c r="A3" t="s">
        <v>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14</v>
      </c>
    </row>
    <row r="4" spans="1:14" x14ac:dyDescent="0.35">
      <c r="A4" s="2" t="s">
        <v>7</v>
      </c>
      <c r="B4">
        <v>424</v>
      </c>
      <c r="C4">
        <v>111</v>
      </c>
      <c r="D4">
        <v>5720</v>
      </c>
      <c r="E4">
        <v>3733</v>
      </c>
      <c r="F4">
        <v>7791</v>
      </c>
      <c r="G4">
        <v>1626</v>
      </c>
      <c r="H4">
        <f>(B4+C4+D4+E4+F4+G4)</f>
        <v>19405</v>
      </c>
      <c r="I4" s="4">
        <f>(H4/H10)</f>
        <v>4.8779445515584031E-2</v>
      </c>
      <c r="M4" t="s">
        <v>15</v>
      </c>
      <c r="N4" s="4">
        <f>(G7/G10)</f>
        <v>0.5607804604154969</v>
      </c>
    </row>
    <row r="5" spans="1:14" x14ac:dyDescent="0.35">
      <c r="A5" s="2" t="s">
        <v>8</v>
      </c>
      <c r="B5">
        <v>259</v>
      </c>
      <c r="C5">
        <v>211</v>
      </c>
      <c r="D5">
        <v>1739</v>
      </c>
      <c r="E5">
        <v>17704</v>
      </c>
      <c r="F5">
        <v>42702</v>
      </c>
      <c r="G5">
        <v>1027</v>
      </c>
      <c r="H5">
        <f>(B5+C5+D5+E5+F5+G5)</f>
        <v>63642</v>
      </c>
      <c r="I5" s="4">
        <f>(H5/H10)</f>
        <v>0.15998049324930683</v>
      </c>
    </row>
    <row r="6" spans="1:14" x14ac:dyDescent="0.35">
      <c r="A6" s="2" t="s">
        <v>9</v>
      </c>
      <c r="B6">
        <v>66</v>
      </c>
      <c r="C6">
        <v>8</v>
      </c>
      <c r="D6">
        <v>640</v>
      </c>
      <c r="E6">
        <v>5205</v>
      </c>
      <c r="F6">
        <v>12090</v>
      </c>
      <c r="G6">
        <v>162</v>
      </c>
      <c r="H6">
        <f>(B6+C6+D6+E6+F6+G6)</f>
        <v>18171</v>
      </c>
      <c r="I6" s="4">
        <f>(H6/H10)</f>
        <v>4.5677469954325041E-2</v>
      </c>
    </row>
    <row r="7" spans="1:14" x14ac:dyDescent="0.35">
      <c r="A7" s="2" t="s">
        <v>10</v>
      </c>
      <c r="B7">
        <v>478</v>
      </c>
      <c r="C7">
        <v>67</v>
      </c>
      <c r="D7">
        <v>7110</v>
      </c>
      <c r="E7">
        <v>17221</v>
      </c>
      <c r="F7">
        <v>59459</v>
      </c>
      <c r="G7">
        <v>7990</v>
      </c>
      <c r="H7">
        <f>(B7+C7+D7+E7+F7+G7)</f>
        <v>92325</v>
      </c>
      <c r="I7" s="4">
        <f>(H7/H10)</f>
        <v>0.23208257187458367</v>
      </c>
    </row>
    <row r="8" spans="1:14" x14ac:dyDescent="0.35">
      <c r="A8" s="2" t="s">
        <v>11</v>
      </c>
      <c r="B8">
        <v>221</v>
      </c>
      <c r="C8">
        <v>267</v>
      </c>
      <c r="D8">
        <v>677</v>
      </c>
      <c r="E8">
        <v>24895</v>
      </c>
      <c r="F8">
        <v>67428</v>
      </c>
      <c r="G8">
        <v>373</v>
      </c>
      <c r="H8">
        <f>(B8+C8+D8+E8+F8+G8)</f>
        <v>93861</v>
      </c>
      <c r="I8" s="4">
        <f>(H8/H10)</f>
        <v>0.23594370190869535</v>
      </c>
    </row>
    <row r="9" spans="1:14" x14ac:dyDescent="0.35">
      <c r="A9" s="2" t="s">
        <v>12</v>
      </c>
      <c r="B9">
        <v>171</v>
      </c>
      <c r="C9">
        <v>51</v>
      </c>
      <c r="D9">
        <v>1748</v>
      </c>
      <c r="E9">
        <v>21406</v>
      </c>
      <c r="F9">
        <v>83961</v>
      </c>
      <c r="G9">
        <v>3070</v>
      </c>
      <c r="H9">
        <f>(B9+C9+D9+E9+F9+G9)</f>
        <v>110407</v>
      </c>
      <c r="I9" s="4">
        <f>(H9/H10)</f>
        <v>0.27753631749750507</v>
      </c>
    </row>
    <row r="10" spans="1:14" x14ac:dyDescent="0.35">
      <c r="A10" s="2"/>
      <c r="B10" s="1">
        <v>1619</v>
      </c>
      <c r="C10" s="1">
        <v>715</v>
      </c>
      <c r="D10" s="1">
        <v>17634</v>
      </c>
      <c r="E10" s="1">
        <v>90164</v>
      </c>
      <c r="F10" s="1">
        <v>273431</v>
      </c>
      <c r="G10" s="1">
        <v>14248</v>
      </c>
      <c r="H10" s="1">
        <f>SUM(H4:H9)</f>
        <v>397811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2025-07-30T10:49:00Z</dcterms:created>
  <dcterms:modified xsi:type="dcterms:W3CDTF">2025-07-31T08:53:33Z</dcterms:modified>
</cp:coreProperties>
</file>
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estfoldfylke-my.sharepoint.com/personal/rasmus_palmqvist_vestfoldfylke_no/Documents/Dokumenter/GitHub/Ny mappe/Vestfold/01_Befolkning/Befolkningsframskrivinger/"/>
    </mc:Choice>
  </mc:AlternateContent>
  <xr:revisionPtr revIDLastSave="202" documentId="8_{5B31AB13-E86D-463D-90A3-187EE6EE97F8}" xr6:coauthVersionLast="47" xr6:coauthVersionMax="47" xr10:uidLastSave="{924246BB-98D1-4B02-950C-5CEA647869E2}"/>
  <bookViews>
    <workbookView xWindow="-120" yWindow="-120" windowWidth="29040" windowHeight="15720" activeTab="1" xr2:uid="{00000000-000D-0000-FFFF-FFFF00000000}"/>
  </bookViews>
  <sheets>
    <sheet name="Fodt" sheetId="2" r:id="rId1"/>
    <sheet name="Befolkningsframskrivinger 2026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4" i="3"/>
  <c r="J5" i="3"/>
  <c r="J6" i="3"/>
  <c r="J7" i="3"/>
  <c r="J8" i="3"/>
  <c r="J9" i="3"/>
  <c r="J10" i="3"/>
  <c r="J4" i="3"/>
  <c r="I5" i="3"/>
  <c r="I6" i="3"/>
  <c r="I7" i="3"/>
  <c r="I8" i="3"/>
  <c r="I9" i="3"/>
  <c r="I10" i="3"/>
  <c r="I4" i="3"/>
  <c r="H5" i="3"/>
  <c r="H6" i="3"/>
  <c r="H7" i="3"/>
  <c r="H8" i="3"/>
  <c r="H9" i="3"/>
  <c r="H10" i="3"/>
  <c r="H4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D5" i="3"/>
  <c r="E5" i="3"/>
  <c r="F5" i="3"/>
  <c r="C5" i="3"/>
  <c r="F4" i="3"/>
  <c r="E4" i="3"/>
  <c r="H20" i="3"/>
  <c r="H21" i="3"/>
  <c r="H22" i="3"/>
  <c r="H30" i="3"/>
  <c r="H31" i="3"/>
  <c r="H32" i="3"/>
  <c r="H67" i="3"/>
  <c r="H68" i="3"/>
  <c r="H69" i="3"/>
  <c r="H72" i="3"/>
  <c r="H73" i="3"/>
  <c r="H83" i="3"/>
  <c r="H84" i="3"/>
  <c r="H85" i="3"/>
  <c r="H86" i="3"/>
  <c r="H87" i="3"/>
  <c r="H88" i="3"/>
  <c r="H89" i="3"/>
  <c r="H93" i="3"/>
  <c r="H94" i="3"/>
  <c r="H95" i="3"/>
  <c r="H103" i="3"/>
  <c r="H104" i="3"/>
  <c r="H105" i="3"/>
  <c r="H106" i="3"/>
  <c r="H107" i="3"/>
  <c r="H108" i="3"/>
  <c r="H109" i="3"/>
  <c r="H113" i="3"/>
  <c r="H114" i="3"/>
  <c r="H115" i="3"/>
  <c r="H124" i="3"/>
  <c r="H125" i="3"/>
  <c r="H126" i="3"/>
  <c r="H127" i="3"/>
  <c r="H128" i="3"/>
  <c r="H129" i="3"/>
  <c r="H134" i="3"/>
  <c r="H135" i="3"/>
  <c r="H136" i="3"/>
  <c r="H137" i="3"/>
  <c r="H139" i="3"/>
  <c r="H145" i="3"/>
  <c r="H146" i="3"/>
  <c r="H147" i="3"/>
  <c r="H148" i="3"/>
  <c r="H149" i="3"/>
  <c r="H155" i="3"/>
  <c r="H156" i="3"/>
  <c r="H157" i="3"/>
  <c r="H158" i="3"/>
  <c r="H159" i="3"/>
  <c r="H165" i="3"/>
  <c r="H166" i="3"/>
  <c r="H167" i="3"/>
  <c r="H168" i="3"/>
  <c r="H169" i="3"/>
  <c r="H61" i="3"/>
  <c r="H62" i="3"/>
  <c r="H41" i="3"/>
  <c r="H42" i="3"/>
  <c r="H43" i="3"/>
  <c r="H44" i="3"/>
  <c r="H45" i="3"/>
  <c r="H46" i="3"/>
  <c r="H51" i="3"/>
  <c r="H52" i="3"/>
  <c r="H53" i="3"/>
  <c r="G170" i="3"/>
  <c r="F170" i="3"/>
  <c r="D170" i="3"/>
  <c r="C170" i="3"/>
  <c r="G144" i="3"/>
  <c r="F144" i="3"/>
  <c r="D144" i="3"/>
  <c r="C144" i="3"/>
  <c r="G118" i="3"/>
  <c r="F118" i="3"/>
  <c r="D118" i="3"/>
  <c r="C118" i="3"/>
  <c r="G92" i="3"/>
  <c r="F92" i="3"/>
  <c r="D92" i="3"/>
  <c r="C92" i="3"/>
  <c r="G66" i="3"/>
  <c r="F66" i="3"/>
  <c r="D66" i="3"/>
  <c r="C66" i="3"/>
  <c r="G40" i="3"/>
  <c r="F40" i="3"/>
  <c r="D4" i="3" s="1"/>
  <c r="D40" i="3"/>
  <c r="C40" i="3"/>
  <c r="E16" i="3"/>
  <c r="H16" i="3" s="1"/>
  <c r="E17" i="3"/>
  <c r="H17" i="3" s="1"/>
  <c r="E18" i="3"/>
  <c r="H18" i="3" s="1"/>
  <c r="E19" i="3"/>
  <c r="H19" i="3" s="1"/>
  <c r="E20" i="3"/>
  <c r="E21" i="3"/>
  <c r="E22" i="3"/>
  <c r="E23" i="3"/>
  <c r="H23" i="3" s="1"/>
  <c r="E24" i="3"/>
  <c r="H24" i="3" s="1"/>
  <c r="E25" i="3"/>
  <c r="H25" i="3" s="1"/>
  <c r="E26" i="3"/>
  <c r="H26" i="3" s="1"/>
  <c r="E27" i="3"/>
  <c r="H27" i="3" s="1"/>
  <c r="E28" i="3"/>
  <c r="H28" i="3" s="1"/>
  <c r="E29" i="3"/>
  <c r="H29" i="3" s="1"/>
  <c r="E30" i="3"/>
  <c r="E31" i="3"/>
  <c r="E32" i="3"/>
  <c r="E33" i="3"/>
  <c r="H33" i="3" s="1"/>
  <c r="E34" i="3"/>
  <c r="H34" i="3" s="1"/>
  <c r="E35" i="3"/>
  <c r="H35" i="3" s="1"/>
  <c r="E36" i="3"/>
  <c r="H36" i="3" s="1"/>
  <c r="E37" i="3"/>
  <c r="H37" i="3" s="1"/>
  <c r="E38" i="3"/>
  <c r="H38" i="3" s="1"/>
  <c r="E39" i="3"/>
  <c r="H39" i="3" s="1"/>
  <c r="E41" i="3"/>
  <c r="E42" i="3"/>
  <c r="E43" i="3"/>
  <c r="E44" i="3"/>
  <c r="E45" i="3"/>
  <c r="E46" i="3"/>
  <c r="E47" i="3"/>
  <c r="H47" i="3" s="1"/>
  <c r="E48" i="3"/>
  <c r="H48" i="3" s="1"/>
  <c r="E49" i="3"/>
  <c r="H49" i="3" s="1"/>
  <c r="E50" i="3"/>
  <c r="H50" i="3" s="1"/>
  <c r="E51" i="3"/>
  <c r="E52" i="3"/>
  <c r="E53" i="3"/>
  <c r="E54" i="3"/>
  <c r="H54" i="3" s="1"/>
  <c r="E55" i="3"/>
  <c r="H55" i="3" s="1"/>
  <c r="E56" i="3"/>
  <c r="H56" i="3" s="1"/>
  <c r="E57" i="3"/>
  <c r="H57" i="3" s="1"/>
  <c r="E58" i="3"/>
  <c r="H58" i="3" s="1"/>
  <c r="E59" i="3"/>
  <c r="H59" i="3" s="1"/>
  <c r="E60" i="3"/>
  <c r="H60" i="3" s="1"/>
  <c r="E61" i="3"/>
  <c r="E62" i="3"/>
  <c r="E63" i="3"/>
  <c r="H63" i="3" s="1"/>
  <c r="E64" i="3"/>
  <c r="H64" i="3" s="1"/>
  <c r="E65" i="3"/>
  <c r="H65" i="3" s="1"/>
  <c r="E67" i="3"/>
  <c r="E68" i="3"/>
  <c r="E92" i="3" s="1"/>
  <c r="H92" i="3" s="1"/>
  <c r="E69" i="3"/>
  <c r="E70" i="3"/>
  <c r="H70" i="3" s="1"/>
  <c r="E71" i="3"/>
  <c r="H71" i="3" s="1"/>
  <c r="E72" i="3"/>
  <c r="E73" i="3"/>
  <c r="E74" i="3"/>
  <c r="H74" i="3" s="1"/>
  <c r="E75" i="3"/>
  <c r="H75" i="3" s="1"/>
  <c r="E76" i="3"/>
  <c r="H76" i="3" s="1"/>
  <c r="E77" i="3"/>
  <c r="H77" i="3" s="1"/>
  <c r="E78" i="3"/>
  <c r="H78" i="3" s="1"/>
  <c r="E79" i="3"/>
  <c r="H79" i="3" s="1"/>
  <c r="E80" i="3"/>
  <c r="H80" i="3" s="1"/>
  <c r="E81" i="3"/>
  <c r="H81" i="3" s="1"/>
  <c r="E82" i="3"/>
  <c r="H82" i="3" s="1"/>
  <c r="E83" i="3"/>
  <c r="E84" i="3"/>
  <c r="E85" i="3"/>
  <c r="E86" i="3"/>
  <c r="E87" i="3"/>
  <c r="E88" i="3"/>
  <c r="E89" i="3"/>
  <c r="E90" i="3"/>
  <c r="H90" i="3" s="1"/>
  <c r="E91" i="3"/>
  <c r="H91" i="3" s="1"/>
  <c r="E93" i="3"/>
  <c r="E94" i="3"/>
  <c r="E95" i="3"/>
  <c r="E118" i="3" s="1"/>
  <c r="H118" i="3" s="1"/>
  <c r="E96" i="3"/>
  <c r="H96" i="3" s="1"/>
  <c r="E97" i="3"/>
  <c r="H97" i="3" s="1"/>
  <c r="E98" i="3"/>
  <c r="H98" i="3" s="1"/>
  <c r="E99" i="3"/>
  <c r="H99" i="3" s="1"/>
  <c r="E100" i="3"/>
  <c r="H100" i="3" s="1"/>
  <c r="E101" i="3"/>
  <c r="H101" i="3" s="1"/>
  <c r="E102" i="3"/>
  <c r="H102" i="3" s="1"/>
  <c r="E103" i="3"/>
  <c r="E104" i="3"/>
  <c r="E105" i="3"/>
  <c r="E106" i="3"/>
  <c r="E107" i="3"/>
  <c r="E108" i="3"/>
  <c r="E109" i="3"/>
  <c r="E110" i="3"/>
  <c r="H110" i="3" s="1"/>
  <c r="E111" i="3"/>
  <c r="H111" i="3" s="1"/>
  <c r="E112" i="3"/>
  <c r="H112" i="3" s="1"/>
  <c r="E113" i="3"/>
  <c r="E114" i="3"/>
  <c r="E115" i="3"/>
  <c r="E116" i="3"/>
  <c r="H116" i="3" s="1"/>
  <c r="E117" i="3"/>
  <c r="H117" i="3" s="1"/>
  <c r="E119" i="3"/>
  <c r="E144" i="3" s="1"/>
  <c r="H144" i="3" s="1"/>
  <c r="E120" i="3"/>
  <c r="H120" i="3" s="1"/>
  <c r="E121" i="3"/>
  <c r="H121" i="3" s="1"/>
  <c r="E122" i="3"/>
  <c r="H122" i="3" s="1"/>
  <c r="E123" i="3"/>
  <c r="H123" i="3" s="1"/>
  <c r="E124" i="3"/>
  <c r="E125" i="3"/>
  <c r="E126" i="3"/>
  <c r="E127" i="3"/>
  <c r="E128" i="3"/>
  <c r="E129" i="3"/>
  <c r="E130" i="3"/>
  <c r="H130" i="3" s="1"/>
  <c r="E131" i="3"/>
  <c r="H131" i="3" s="1"/>
  <c r="E132" i="3"/>
  <c r="H132" i="3" s="1"/>
  <c r="E133" i="3"/>
  <c r="H133" i="3" s="1"/>
  <c r="E134" i="3"/>
  <c r="E135" i="3"/>
  <c r="E136" i="3"/>
  <c r="E137" i="3"/>
  <c r="E138" i="3"/>
  <c r="H138" i="3" s="1"/>
  <c r="E139" i="3"/>
  <c r="E140" i="3"/>
  <c r="H140" i="3" s="1"/>
  <c r="E141" i="3"/>
  <c r="H141" i="3" s="1"/>
  <c r="E142" i="3"/>
  <c r="H142" i="3" s="1"/>
  <c r="E143" i="3"/>
  <c r="H143" i="3" s="1"/>
  <c r="E145" i="3"/>
  <c r="E170" i="3" s="1"/>
  <c r="H170" i="3" s="1"/>
  <c r="E146" i="3"/>
  <c r="E147" i="3"/>
  <c r="E148" i="3"/>
  <c r="E149" i="3"/>
  <c r="E150" i="3"/>
  <c r="H150" i="3" s="1"/>
  <c r="E151" i="3"/>
  <c r="H151" i="3" s="1"/>
  <c r="E152" i="3"/>
  <c r="H152" i="3" s="1"/>
  <c r="E153" i="3"/>
  <c r="H153" i="3" s="1"/>
  <c r="E154" i="3"/>
  <c r="H154" i="3" s="1"/>
  <c r="E155" i="3"/>
  <c r="E156" i="3"/>
  <c r="E157" i="3"/>
  <c r="E158" i="3"/>
  <c r="E159" i="3"/>
  <c r="E160" i="3"/>
  <c r="H160" i="3" s="1"/>
  <c r="E161" i="3"/>
  <c r="H161" i="3" s="1"/>
  <c r="E162" i="3"/>
  <c r="H162" i="3" s="1"/>
  <c r="E163" i="3"/>
  <c r="H163" i="3" s="1"/>
  <c r="E164" i="3"/>
  <c r="H164" i="3" s="1"/>
  <c r="E165" i="3"/>
  <c r="E166" i="3"/>
  <c r="E167" i="3"/>
  <c r="E168" i="3"/>
  <c r="E169" i="3"/>
  <c r="E15" i="3"/>
  <c r="H15" i="3" s="1"/>
  <c r="G10" i="3"/>
  <c r="N50" i="2"/>
  <c r="O50" i="2"/>
  <c r="M50" i="2"/>
  <c r="N48" i="2"/>
  <c r="O48" i="2"/>
  <c r="M48" i="2"/>
  <c r="V27" i="2"/>
  <c r="V28" i="2"/>
  <c r="V29" i="2"/>
  <c r="V30" i="2"/>
  <c r="V31" i="2"/>
  <c r="V32" i="2"/>
  <c r="V26" i="2"/>
  <c r="L27" i="2"/>
  <c r="M27" i="2"/>
  <c r="N27" i="2"/>
  <c r="O27" i="2"/>
  <c r="P27" i="2"/>
  <c r="Q27" i="2"/>
  <c r="R27" i="2"/>
  <c r="S27" i="2"/>
  <c r="T27" i="2"/>
  <c r="U27" i="2"/>
  <c r="L28" i="2"/>
  <c r="M28" i="2"/>
  <c r="N28" i="2"/>
  <c r="O28" i="2"/>
  <c r="P28" i="2"/>
  <c r="Q28" i="2"/>
  <c r="R28" i="2"/>
  <c r="S28" i="2"/>
  <c r="T28" i="2"/>
  <c r="U28" i="2"/>
  <c r="L29" i="2"/>
  <c r="M29" i="2"/>
  <c r="N29" i="2"/>
  <c r="O29" i="2"/>
  <c r="P29" i="2"/>
  <c r="Q29" i="2"/>
  <c r="R29" i="2"/>
  <c r="S29" i="2"/>
  <c r="T29" i="2"/>
  <c r="U29" i="2"/>
  <c r="L30" i="2"/>
  <c r="M30" i="2"/>
  <c r="N30" i="2"/>
  <c r="O30" i="2"/>
  <c r="P30" i="2"/>
  <c r="Q30" i="2"/>
  <c r="R30" i="2"/>
  <c r="S30" i="2"/>
  <c r="T30" i="2"/>
  <c r="U30" i="2"/>
  <c r="L31" i="2"/>
  <c r="M31" i="2"/>
  <c r="N31" i="2"/>
  <c r="O31" i="2"/>
  <c r="P31" i="2"/>
  <c r="Q31" i="2"/>
  <c r="R31" i="2"/>
  <c r="S31" i="2"/>
  <c r="T31" i="2"/>
  <c r="U31" i="2"/>
  <c r="L32" i="2"/>
  <c r="M32" i="2"/>
  <c r="N32" i="2"/>
  <c r="O32" i="2"/>
  <c r="P32" i="2"/>
  <c r="Q32" i="2"/>
  <c r="R32" i="2"/>
  <c r="S32" i="2"/>
  <c r="T32" i="2"/>
  <c r="U32" i="2"/>
  <c r="M26" i="2"/>
  <c r="N26" i="2"/>
  <c r="O26" i="2"/>
  <c r="P26" i="2"/>
  <c r="Q26" i="2"/>
  <c r="R26" i="2"/>
  <c r="S26" i="2"/>
  <c r="T26" i="2"/>
  <c r="U26" i="2"/>
  <c r="L26" i="2"/>
  <c r="V18" i="2"/>
  <c r="V19" i="2"/>
  <c r="V20" i="2"/>
  <c r="V21" i="2"/>
  <c r="V22" i="2"/>
  <c r="V23" i="2"/>
  <c r="V17" i="2"/>
  <c r="U23" i="2"/>
  <c r="T23" i="2"/>
  <c r="S23" i="2"/>
  <c r="R23" i="2"/>
  <c r="Q23" i="2"/>
  <c r="P23" i="2"/>
  <c r="O23" i="2"/>
  <c r="N23" i="2"/>
  <c r="M23" i="2"/>
  <c r="L23" i="2"/>
  <c r="Q11" i="2"/>
  <c r="R11" i="2"/>
  <c r="S11" i="2"/>
  <c r="T11" i="2"/>
  <c r="M11" i="2"/>
  <c r="N11" i="2"/>
  <c r="O11" i="2"/>
  <c r="P11" i="2"/>
  <c r="L11" i="2"/>
  <c r="Q6" i="2"/>
  <c r="R6" i="2"/>
  <c r="S6" i="2"/>
  <c r="T6" i="2"/>
  <c r="Q7" i="2"/>
  <c r="R7" i="2"/>
  <c r="S7" i="2"/>
  <c r="T7" i="2"/>
  <c r="Q8" i="2"/>
  <c r="R8" i="2"/>
  <c r="S8" i="2"/>
  <c r="T8" i="2"/>
  <c r="Q9" i="2"/>
  <c r="R9" i="2"/>
  <c r="S9" i="2"/>
  <c r="T9" i="2"/>
  <c r="Q10" i="2"/>
  <c r="R10" i="2"/>
  <c r="S10" i="2"/>
  <c r="T10" i="2"/>
  <c r="R5" i="2"/>
  <c r="S5" i="2"/>
  <c r="T5" i="2"/>
  <c r="Q5" i="2"/>
  <c r="H173" i="2"/>
  <c r="H174" i="2"/>
  <c r="E173" i="2"/>
  <c r="E174" i="2"/>
  <c r="F10" i="3" l="1"/>
  <c r="E10" i="3"/>
  <c r="D10" i="3"/>
  <c r="H119" i="3"/>
  <c r="E66" i="3"/>
  <c r="H66" i="3" s="1"/>
  <c r="E40" i="3"/>
  <c r="C4" i="3" l="1"/>
  <c r="H40" i="3"/>
  <c r="C10" i="3" l="1"/>
</calcChain>
</file>

<file path=xl/sharedStrings.xml><?xml version="1.0" encoding="utf-8"?>
<sst xmlns="http://schemas.openxmlformats.org/spreadsheetml/2006/main" count="647" uniqueCount="92">
  <si>
    <t>14289: Framskrevne befolkningsendringer, etter region, år, statistikkvariabel og alternativ</t>
  </si>
  <si>
    <t>Fødte</t>
  </si>
  <si>
    <t>Døde</t>
  </si>
  <si>
    <t>Nettoinnvandring</t>
  </si>
  <si>
    <t>Innenlands nettoinnflytting</t>
  </si>
  <si>
    <t>3901 Horten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</si>
  <si>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</si>
  <si>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</si>
  <si>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</si>
  <si>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</si>
  <si>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</si>
  <si>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</si>
  <si>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</si>
  <si>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</si>
  <si>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</si>
  <si>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</si>
  <si>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</si>
  <si>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</si>
  <si>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</si>
  <si>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</si>
  <si>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</si>
  <si>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</si>
  <si>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</si>
  <si>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</si>
  <si>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</si>
  <si>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</si>
  <si>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</si>
  <si>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</si>
  <si>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</si>
  <si>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</si>
  <si>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</si>
  <si>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</si>
  <si>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</si>
  <si>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3903 Holmestrand</t>
  </si>
  <si>
    <t>3905 Tønsberg</t>
  </si>
  <si>
    <t>3907 Sandefjord</t>
  </si>
  <si>
    <t>3909 Larvik</t>
  </si>
  <si>
    <t>3911 Færder</t>
  </si>
  <si>
    <t>region:</t>
  </si>
  <si>
    <t>&lt;a href='https://www.ssb.no/offentlig-sektor/kommunekatalog/endringer-i-de-regionale-inndelingene' target='footnote'&gt;&lt;b&gt;Se liste over endringer i de regionale inndelingene.&lt;/b&gt;&lt;/a&gt; &lt;br&gt;&lt;br&gt;
&lt;a href='https://www.ssb.no/statbank/hvordan-bruke-statistikkbanken/statistikkbanktabeller-med-sammenslatte-tidsserier' target='footnote'&gt;Tabeller som bruker ny regioninndeling også for årene før 2024.&lt;/a&gt;</t>
  </si>
  <si>
    <t>Sist endret:</t>
  </si>
  <si>
    <t>Fødte:</t>
  </si>
  <si>
    <t>20240605 08:00</t>
  </si>
  <si>
    <t>Døde:</t>
  </si>
  <si>
    <t>Nettoinnvandring:</t>
  </si>
  <si>
    <t>Innenlands nettoinnflytting:</t>
  </si>
  <si>
    <t>Kilde:</t>
  </si>
  <si>
    <t>Statistisk sentralbyrå</t>
  </si>
  <si>
    <t>Kontakt:</t>
  </si>
  <si>
    <t xml:space="preserve"> Regionale Befolkningsframskrivninger, Statistisk sentralbyrå</t>
  </si>
  <si>
    <t xml:space="preserve"> +47 62 88 50 00</t>
  </si>
  <si>
    <t>regfram@ssb.no</t>
  </si>
  <si>
    <t>Måleenhet:</t>
  </si>
  <si>
    <t>personer</t>
  </si>
  <si>
    <t>Målemetode:</t>
  </si>
  <si>
    <t>Forløp (periodesum)</t>
  </si>
  <si>
    <t>Referansetid:</t>
  </si>
  <si>
    <t>Årlig</t>
  </si>
  <si>
    <t>Offisiell statistikk</t>
  </si>
  <si>
    <t>Database:</t>
  </si>
  <si>
    <t>Ekstern PRODUKSJON</t>
  </si>
  <si>
    <t>Intern referansekode:</t>
  </si>
  <si>
    <t>Fodt</t>
  </si>
  <si>
    <t>Naturlig tilvekst</t>
  </si>
  <si>
    <t>Samlet vekst</t>
  </si>
  <si>
    <t>Horten</t>
  </si>
  <si>
    <t>Holmestrand</t>
  </si>
  <si>
    <t>Tønsberg</t>
  </si>
  <si>
    <t>Sandefjord</t>
  </si>
  <si>
    <t>Larvik</t>
  </si>
  <si>
    <t>Færder</t>
  </si>
  <si>
    <t>Nettoinnflytting</t>
  </si>
  <si>
    <t>Befolkning 2024</t>
  </si>
  <si>
    <t>Vestfold</t>
  </si>
  <si>
    <t>0 år</t>
  </si>
  <si>
    <t>1-5 år</t>
  </si>
  <si>
    <t>6-12 år</t>
  </si>
  <si>
    <t>13-15 år</t>
  </si>
  <si>
    <t>16-19 år</t>
  </si>
  <si>
    <t>20-44 år</t>
  </si>
  <si>
    <t>45-66 år</t>
  </si>
  <si>
    <t>67-79 år</t>
  </si>
  <si>
    <t>80-89 år</t>
  </si>
  <si>
    <t>90 år eller eldre</t>
  </si>
  <si>
    <t>Totalt</t>
  </si>
  <si>
    <t>67 år og eldre</t>
  </si>
  <si>
    <t>Hovedalternativet (MMMM)</t>
  </si>
  <si>
    <t>39 Vestfold</t>
  </si>
  <si>
    <t>67 år eller eldre</t>
  </si>
  <si>
    <t>14747: Framskrevne befolkningsendringer, etter region, år og alternativ</t>
  </si>
  <si>
    <t>Befolkning 2026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</si>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</sst>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162327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1" fontId="0" fillId="2" borderId="0" xfId="0" applyNumberFormat="1" applyFill="1"/>
    <xf numFmtId="0" fontId="2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164" fontId="0" fillId="0" borderId="0" xfId="0" applyNumberFormat="1"/>
    <xf numFmtId="9" fontId="0" fillId="0" borderId="0" xfId="1" applyFont="1"/>
    <xf numFmtId="0" fontId="4" fillId="0" borderId="0" xfId="0" applyFont="1" applyAlignment="1">
      <alignment vertical="center" wrapText="1"/>
    </xf>
  </cellXfs>
  <cellStyles count="2">
    <cellStyle name="Normal" xfId="0" builtinId="0"/>
    <cellStyle name="Pros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8"/>
  <sheetViews>
    <sheetView workbookViewId="0">
      <selection activeCell="Q5" sqref="Q5"/>
    </sheetView>
  </sheetViews>
  <sheetFormatPr baseColWidth="10" defaultColWidth="8.7109375" defaultRowHeight="15" x14ac:dyDescent="0.25"/>
  <cols>
    <col min="1" max="4" width="9.140625" customWidth="1"/>
    <col min="5" max="5" width="14.42578125" customWidth="1"/>
    <col min="6" max="6" width="9.140625" customWidth="1"/>
    <col min="7" max="7" width="16.85546875" customWidth="1"/>
    <col min="13" max="13" width="13.5703125" customWidth="1"/>
    <col min="14" max="14" width="14.7109375" customWidth="1"/>
  </cols>
  <sheetData>
    <row r="1" spans="1:22" ht="18.75" x14ac:dyDescent="0.3">
      <c r="A1" s="1" t="s">
        <v>0</v>
      </c>
    </row>
    <row r="3" spans="1:22" x14ac:dyDescent="0.25">
      <c r="E3" s="2"/>
    </row>
    <row r="4" spans="1:22" ht="45" x14ac:dyDescent="0.25">
      <c r="C4" s="2" t="s">
        <v>1</v>
      </c>
      <c r="D4" s="2" t="s">
        <v>2</v>
      </c>
      <c r="E4" s="2" t="s">
        <v>63</v>
      </c>
      <c r="F4" s="2" t="s">
        <v>3</v>
      </c>
      <c r="G4" s="2" t="s">
        <v>4</v>
      </c>
      <c r="H4" s="2" t="s">
        <v>64</v>
      </c>
      <c r="L4" s="5" t="s">
        <v>63</v>
      </c>
      <c r="M4" s="5" t="s">
        <v>3</v>
      </c>
      <c r="N4" s="5" t="s">
        <v>71</v>
      </c>
      <c r="O4" s="5" t="s">
        <v>64</v>
      </c>
      <c r="P4" s="6" t="s">
        <v>72</v>
      </c>
      <c r="Q4" s="5" t="s">
        <v>63</v>
      </c>
      <c r="R4" s="5" t="s">
        <v>3</v>
      </c>
      <c r="S4" s="5" t="s">
        <v>71</v>
      </c>
      <c r="T4" s="5" t="s">
        <v>64</v>
      </c>
    </row>
    <row r="5" spans="1:22" x14ac:dyDescent="0.25">
      <c r="A5" s="2" t="s">
        <v>5</v>
      </c>
      <c r="B5" s="2" t="s">
        <v>6</v>
      </c>
      <c r="C5" s="3">
        <v>213</v>
      </c>
      <c r="D5" s="3">
        <v>278</v>
      </c>
      <c r="E5" s="3">
        <v>-65</v>
      </c>
      <c r="F5" s="3">
        <v>201</v>
      </c>
      <c r="G5" s="3">
        <v>7</v>
      </c>
      <c r="H5" s="3">
        <v>143</v>
      </c>
      <c r="K5" t="s">
        <v>65</v>
      </c>
      <c r="L5" s="3">
        <v>-2279</v>
      </c>
      <c r="M5" s="3">
        <v>2397</v>
      </c>
      <c r="N5" s="3">
        <v>1845</v>
      </c>
      <c r="O5" s="3">
        <v>1963</v>
      </c>
      <c r="P5" s="4">
        <v>27939</v>
      </c>
      <c r="Q5" s="7">
        <f t="shared" ref="Q5:T11" si="0">L5/$P5*100</f>
        <v>-8.1570564443967211</v>
      </c>
      <c r="R5" s="7">
        <f t="shared" si="0"/>
        <v>8.5794051326103293</v>
      </c>
      <c r="S5" s="7">
        <f t="shared" si="0"/>
        <v>6.6036722860517552</v>
      </c>
      <c r="T5" s="7">
        <f t="shared" si="0"/>
        <v>7.0260209742653634</v>
      </c>
    </row>
    <row r="6" spans="1:22" x14ac:dyDescent="0.25">
      <c r="B6" s="2" t="s">
        <v>7</v>
      </c>
      <c r="C6" s="3">
        <v>216</v>
      </c>
      <c r="D6" s="3">
        <v>278</v>
      </c>
      <c r="E6" s="3">
        <v>-62</v>
      </c>
      <c r="F6" s="3">
        <v>147</v>
      </c>
      <c r="G6" s="3">
        <v>15</v>
      </c>
      <c r="H6" s="3">
        <v>100</v>
      </c>
      <c r="K6" t="s">
        <v>66</v>
      </c>
      <c r="L6" s="3">
        <v>-548</v>
      </c>
      <c r="M6" s="3">
        <v>1813</v>
      </c>
      <c r="N6" s="3">
        <v>5420</v>
      </c>
      <c r="O6" s="3">
        <v>6685</v>
      </c>
      <c r="P6" s="4">
        <v>26872</v>
      </c>
      <c r="Q6" s="7">
        <f t="shared" si="0"/>
        <v>-2.0392974099434356</v>
      </c>
      <c r="R6" s="7">
        <f t="shared" si="0"/>
        <v>6.7467996427508181</v>
      </c>
      <c r="S6" s="7">
        <f t="shared" si="0"/>
        <v>20.169693361119382</v>
      </c>
      <c r="T6" s="7">
        <f t="shared" si="0"/>
        <v>24.877195593926764</v>
      </c>
    </row>
    <row r="7" spans="1:22" x14ac:dyDescent="0.25">
      <c r="B7" s="2" t="s">
        <v>8</v>
      </c>
      <c r="C7" s="3">
        <v>218</v>
      </c>
      <c r="D7" s="3">
        <v>281</v>
      </c>
      <c r="E7" s="3">
        <v>-63</v>
      </c>
      <c r="F7" s="3">
        <v>96</v>
      </c>
      <c r="G7" s="3">
        <v>24</v>
      </c>
      <c r="H7" s="3">
        <v>57</v>
      </c>
      <c r="K7" t="s">
        <v>67</v>
      </c>
      <c r="L7" s="3">
        <v>-1433</v>
      </c>
      <c r="M7" s="3">
        <v>3741</v>
      </c>
      <c r="N7" s="3">
        <v>5557</v>
      </c>
      <c r="O7" s="3">
        <v>7865</v>
      </c>
      <c r="P7" s="4">
        <v>59174</v>
      </c>
      <c r="Q7" s="7">
        <f t="shared" si="0"/>
        <v>-2.4216716801297866</v>
      </c>
      <c r="R7" s="7">
        <f t="shared" si="0"/>
        <v>6.3220333254469869</v>
      </c>
      <c r="S7" s="7">
        <f t="shared" si="0"/>
        <v>9.3909487274816641</v>
      </c>
      <c r="T7" s="7">
        <f t="shared" si="0"/>
        <v>13.291310372798865</v>
      </c>
    </row>
    <row r="8" spans="1:22" x14ac:dyDescent="0.25">
      <c r="B8" s="2" t="s">
        <v>9</v>
      </c>
      <c r="C8" s="3">
        <v>219</v>
      </c>
      <c r="D8" s="3">
        <v>282</v>
      </c>
      <c r="E8" s="3">
        <v>-63</v>
      </c>
      <c r="F8" s="3">
        <v>91</v>
      </c>
      <c r="G8" s="3">
        <v>33</v>
      </c>
      <c r="H8" s="3">
        <v>61</v>
      </c>
      <c r="K8" t="s">
        <v>68</v>
      </c>
      <c r="L8" s="3">
        <v>-3503</v>
      </c>
      <c r="M8" s="3">
        <v>4477</v>
      </c>
      <c r="N8" s="3">
        <v>6587</v>
      </c>
      <c r="O8" s="3">
        <v>7561</v>
      </c>
      <c r="P8" s="4">
        <v>66231</v>
      </c>
      <c r="Q8" s="7">
        <f t="shared" si="0"/>
        <v>-5.2890640334586525</v>
      </c>
      <c r="R8" s="7">
        <f t="shared" si="0"/>
        <v>6.7596744726789577</v>
      </c>
      <c r="S8" s="7">
        <f t="shared" si="0"/>
        <v>9.9454938019960437</v>
      </c>
      <c r="T8" s="7">
        <f t="shared" si="0"/>
        <v>11.416104241216349</v>
      </c>
    </row>
    <row r="9" spans="1:22" x14ac:dyDescent="0.25">
      <c r="B9" s="2" t="s">
        <v>10</v>
      </c>
      <c r="C9" s="3">
        <v>222</v>
      </c>
      <c r="D9" s="3">
        <v>286</v>
      </c>
      <c r="E9" s="3">
        <v>-64</v>
      </c>
      <c r="F9" s="3">
        <v>89</v>
      </c>
      <c r="G9" s="3">
        <v>42</v>
      </c>
      <c r="H9" s="3">
        <v>67</v>
      </c>
      <c r="K9" t="s">
        <v>69</v>
      </c>
      <c r="L9" s="3">
        <v>-4104</v>
      </c>
      <c r="M9" s="3">
        <v>3175</v>
      </c>
      <c r="N9" s="3">
        <v>4928</v>
      </c>
      <c r="O9" s="3">
        <v>3999</v>
      </c>
      <c r="P9" s="4">
        <v>48715</v>
      </c>
      <c r="Q9" s="7">
        <f t="shared" si="0"/>
        <v>-8.4245099045468539</v>
      </c>
      <c r="R9" s="7">
        <f t="shared" si="0"/>
        <v>6.517499743405522</v>
      </c>
      <c r="S9" s="7">
        <f t="shared" si="0"/>
        <v>10.115980704095248</v>
      </c>
      <c r="T9" s="7">
        <f t="shared" si="0"/>
        <v>8.2089705429539155</v>
      </c>
    </row>
    <row r="10" spans="1:22" x14ac:dyDescent="0.25">
      <c r="B10" s="2" t="s">
        <v>11</v>
      </c>
      <c r="C10" s="3">
        <v>224</v>
      </c>
      <c r="D10" s="3">
        <v>288</v>
      </c>
      <c r="E10" s="3">
        <v>-64</v>
      </c>
      <c r="F10" s="3">
        <v>86</v>
      </c>
      <c r="G10" s="3">
        <v>51</v>
      </c>
      <c r="H10" s="3">
        <v>73</v>
      </c>
      <c r="K10" t="s">
        <v>70</v>
      </c>
      <c r="L10" s="3">
        <v>-3055</v>
      </c>
      <c r="M10" s="3">
        <v>1487</v>
      </c>
      <c r="N10" s="3">
        <v>4166</v>
      </c>
      <c r="O10" s="3">
        <v>2598</v>
      </c>
      <c r="P10" s="4">
        <v>27501</v>
      </c>
      <c r="Q10" s="7">
        <f t="shared" si="0"/>
        <v>-11.108686956837934</v>
      </c>
      <c r="R10" s="7">
        <f t="shared" si="0"/>
        <v>5.407076106323407</v>
      </c>
      <c r="S10" s="7">
        <f t="shared" si="0"/>
        <v>15.148540053088979</v>
      </c>
      <c r="T10" s="7">
        <f t="shared" si="0"/>
        <v>9.4469292025744522</v>
      </c>
    </row>
    <row r="11" spans="1:22" x14ac:dyDescent="0.25">
      <c r="B11" s="2" t="s">
        <v>12</v>
      </c>
      <c r="C11" s="3">
        <v>227</v>
      </c>
      <c r="D11" s="3">
        <v>293</v>
      </c>
      <c r="E11" s="3">
        <v>-66</v>
      </c>
      <c r="F11" s="3">
        <v>86</v>
      </c>
      <c r="G11" s="3">
        <v>54</v>
      </c>
      <c r="H11" s="3">
        <v>74</v>
      </c>
      <c r="K11" t="s">
        <v>73</v>
      </c>
      <c r="L11" s="3">
        <f>SUM(L5:L10)</f>
        <v>-14922</v>
      </c>
      <c r="M11" s="3">
        <f>SUM(M5:M10)</f>
        <v>17090</v>
      </c>
      <c r="N11" s="3">
        <f>SUM(N5:N10)</f>
        <v>28503</v>
      </c>
      <c r="O11" s="3">
        <f>SUM(O5:O10)</f>
        <v>30671</v>
      </c>
      <c r="P11" s="3">
        <f>SUM(P5:P10)</f>
        <v>256432</v>
      </c>
      <c r="Q11" s="7">
        <f t="shared" si="0"/>
        <v>-5.8190865414612842</v>
      </c>
      <c r="R11" s="7">
        <f t="shared" si="0"/>
        <v>6.6645348474449362</v>
      </c>
      <c r="S11" s="7">
        <f t="shared" si="0"/>
        <v>11.115227428714045</v>
      </c>
      <c r="T11" s="7">
        <f t="shared" si="0"/>
        <v>11.960675734697698</v>
      </c>
    </row>
    <row r="12" spans="1:22" x14ac:dyDescent="0.25">
      <c r="B12" s="2" t="s">
        <v>13</v>
      </c>
      <c r="C12" s="3">
        <v>229</v>
      </c>
      <c r="D12" s="3">
        <v>297</v>
      </c>
      <c r="E12" s="3">
        <v>-68</v>
      </c>
      <c r="F12" s="3">
        <v>86</v>
      </c>
      <c r="G12" s="3">
        <v>56</v>
      </c>
      <c r="H12" s="3">
        <v>74</v>
      </c>
    </row>
    <row r="13" spans="1:22" x14ac:dyDescent="0.25">
      <c r="B13" s="2" t="s">
        <v>14</v>
      </c>
      <c r="C13" s="3">
        <v>232</v>
      </c>
      <c r="D13" s="3">
        <v>301</v>
      </c>
      <c r="E13" s="3">
        <v>-69</v>
      </c>
      <c r="F13" s="3">
        <v>85</v>
      </c>
      <c r="G13" s="3">
        <v>59</v>
      </c>
      <c r="H13" s="3">
        <v>75</v>
      </c>
    </row>
    <row r="14" spans="1:22" x14ac:dyDescent="0.25">
      <c r="B14" s="2" t="s">
        <v>15</v>
      </c>
      <c r="C14" s="3">
        <v>236</v>
      </c>
      <c r="D14" s="3">
        <v>305</v>
      </c>
      <c r="E14" s="3">
        <v>-69</v>
      </c>
      <c r="F14" s="3">
        <v>85</v>
      </c>
      <c r="G14" s="3">
        <v>61</v>
      </c>
      <c r="H14" s="3">
        <v>77</v>
      </c>
    </row>
    <row r="15" spans="1:22" x14ac:dyDescent="0.25">
      <c r="B15" s="2" t="s">
        <v>16</v>
      </c>
      <c r="C15" s="3">
        <v>239</v>
      </c>
      <c r="D15" s="3">
        <v>310</v>
      </c>
      <c r="E15" s="3">
        <v>-71</v>
      </c>
      <c r="F15" s="3">
        <v>84</v>
      </c>
      <c r="G15" s="3">
        <v>65</v>
      </c>
      <c r="H15" s="3">
        <v>78</v>
      </c>
      <c r="L15" s="2" t="s">
        <v>32</v>
      </c>
    </row>
    <row r="16" spans="1:22" x14ac:dyDescent="0.25">
      <c r="B16" s="2" t="s">
        <v>17</v>
      </c>
      <c r="C16" s="3">
        <v>242</v>
      </c>
      <c r="D16" s="3">
        <v>313</v>
      </c>
      <c r="E16" s="3">
        <v>-71</v>
      </c>
      <c r="F16" s="3">
        <v>83</v>
      </c>
      <c r="G16" s="3">
        <v>68</v>
      </c>
      <c r="H16" s="3">
        <v>80</v>
      </c>
      <c r="L16" s="2" t="s">
        <v>74</v>
      </c>
      <c r="M16" s="2" t="s">
        <v>75</v>
      </c>
      <c r="N16" s="2" t="s">
        <v>76</v>
      </c>
      <c r="O16" s="2" t="s">
        <v>77</v>
      </c>
      <c r="P16" s="2" t="s">
        <v>78</v>
      </c>
      <c r="Q16" s="2" t="s">
        <v>79</v>
      </c>
      <c r="R16" s="2" t="s">
        <v>80</v>
      </c>
      <c r="S16" s="2" t="s">
        <v>81</v>
      </c>
      <c r="T16" s="2" t="s">
        <v>82</v>
      </c>
      <c r="U16" s="2" t="s">
        <v>83</v>
      </c>
      <c r="V16" s="2" t="s">
        <v>84</v>
      </c>
    </row>
    <row r="17" spans="1:22" x14ac:dyDescent="0.25">
      <c r="B17" s="2" t="s">
        <v>18</v>
      </c>
      <c r="C17" s="3">
        <v>243</v>
      </c>
      <c r="D17" s="3">
        <v>318</v>
      </c>
      <c r="E17" s="3">
        <v>-75</v>
      </c>
      <c r="F17" s="3">
        <v>83</v>
      </c>
      <c r="G17" s="3">
        <v>73</v>
      </c>
      <c r="H17" s="3">
        <v>81</v>
      </c>
      <c r="K17" t="s">
        <v>65</v>
      </c>
      <c r="L17" s="3">
        <v>233</v>
      </c>
      <c r="M17" s="3">
        <v>1288</v>
      </c>
      <c r="N17" s="3">
        <v>1994</v>
      </c>
      <c r="O17" s="3">
        <v>892</v>
      </c>
      <c r="P17" s="3">
        <v>1189</v>
      </c>
      <c r="Q17" s="3">
        <v>7838</v>
      </c>
      <c r="R17" s="3">
        <v>8502</v>
      </c>
      <c r="S17" s="3">
        <v>4649</v>
      </c>
      <c r="T17" s="3">
        <v>2609</v>
      </c>
      <c r="U17" s="3">
        <v>665</v>
      </c>
      <c r="V17" s="3">
        <f>SUM(L17:U17)</f>
        <v>29859</v>
      </c>
    </row>
    <row r="18" spans="1:22" x14ac:dyDescent="0.25">
      <c r="B18" s="2" t="s">
        <v>19</v>
      </c>
      <c r="C18" s="3">
        <v>242</v>
      </c>
      <c r="D18" s="3">
        <v>321</v>
      </c>
      <c r="E18" s="3">
        <v>-79</v>
      </c>
      <c r="F18" s="3">
        <v>83</v>
      </c>
      <c r="G18" s="3">
        <v>76</v>
      </c>
      <c r="H18" s="3">
        <v>80</v>
      </c>
      <c r="K18" t="s">
        <v>66</v>
      </c>
      <c r="L18" s="3">
        <v>275</v>
      </c>
      <c r="M18" s="3">
        <v>1514</v>
      </c>
      <c r="N18" s="3">
        <v>2324</v>
      </c>
      <c r="O18" s="3">
        <v>1027</v>
      </c>
      <c r="P18" s="3">
        <v>1279</v>
      </c>
      <c r="Q18" s="3">
        <v>8424</v>
      </c>
      <c r="R18" s="3">
        <v>9980</v>
      </c>
      <c r="S18" s="3">
        <v>5253</v>
      </c>
      <c r="T18" s="3">
        <v>2644</v>
      </c>
      <c r="U18" s="3">
        <v>707</v>
      </c>
      <c r="V18" s="3">
        <f t="shared" ref="V18:V23" si="1">SUM(L18:U18)</f>
        <v>33427</v>
      </c>
    </row>
    <row r="19" spans="1:22" x14ac:dyDescent="0.25">
      <c r="B19" s="2" t="s">
        <v>20</v>
      </c>
      <c r="C19" s="3">
        <v>242</v>
      </c>
      <c r="D19" s="3">
        <v>325</v>
      </c>
      <c r="E19" s="3">
        <v>-83</v>
      </c>
      <c r="F19" s="3">
        <v>81</v>
      </c>
      <c r="G19" s="3">
        <v>81</v>
      </c>
      <c r="H19" s="3">
        <v>79</v>
      </c>
      <c r="K19" t="s">
        <v>67</v>
      </c>
      <c r="L19" s="3">
        <v>541</v>
      </c>
      <c r="M19" s="3">
        <v>2931</v>
      </c>
      <c r="N19" s="3">
        <v>4512</v>
      </c>
      <c r="O19" s="3">
        <v>2018</v>
      </c>
      <c r="P19" s="3">
        <v>2634</v>
      </c>
      <c r="Q19" s="3">
        <v>18046</v>
      </c>
      <c r="R19" s="3">
        <v>19362</v>
      </c>
      <c r="S19" s="3">
        <v>10032</v>
      </c>
      <c r="T19" s="3">
        <v>5421</v>
      </c>
      <c r="U19" s="3">
        <v>1395</v>
      </c>
      <c r="V19" s="3">
        <f t="shared" si="1"/>
        <v>66892</v>
      </c>
    </row>
    <row r="20" spans="1:22" x14ac:dyDescent="0.25">
      <c r="B20" s="2" t="s">
        <v>21</v>
      </c>
      <c r="C20" s="3">
        <v>242</v>
      </c>
      <c r="D20" s="3">
        <v>328</v>
      </c>
      <c r="E20" s="3">
        <v>-86</v>
      </c>
      <c r="F20" s="3">
        <v>82</v>
      </c>
      <c r="G20" s="3">
        <v>82</v>
      </c>
      <c r="H20" s="3">
        <v>78</v>
      </c>
      <c r="K20" t="s">
        <v>68</v>
      </c>
      <c r="L20" s="3">
        <v>579</v>
      </c>
      <c r="M20" s="3">
        <v>3230</v>
      </c>
      <c r="N20" s="3">
        <v>5096</v>
      </c>
      <c r="O20" s="3">
        <v>2294</v>
      </c>
      <c r="P20" s="3">
        <v>2929</v>
      </c>
      <c r="Q20" s="3">
        <v>19007</v>
      </c>
      <c r="R20" s="3">
        <v>21439</v>
      </c>
      <c r="S20" s="3">
        <v>11246</v>
      </c>
      <c r="T20" s="3">
        <v>6167</v>
      </c>
      <c r="U20" s="3">
        <v>1653</v>
      </c>
      <c r="V20" s="3">
        <f t="shared" si="1"/>
        <v>73640</v>
      </c>
    </row>
    <row r="21" spans="1:22" x14ac:dyDescent="0.25">
      <c r="B21" s="2" t="s">
        <v>22</v>
      </c>
      <c r="C21" s="3">
        <v>241</v>
      </c>
      <c r="D21" s="3">
        <v>330</v>
      </c>
      <c r="E21" s="3">
        <v>-89</v>
      </c>
      <c r="F21" s="3">
        <v>80</v>
      </c>
      <c r="G21" s="3">
        <v>85</v>
      </c>
      <c r="H21" s="3">
        <v>76</v>
      </c>
      <c r="K21" t="s">
        <v>69</v>
      </c>
      <c r="L21" s="3">
        <v>399</v>
      </c>
      <c r="M21" s="3">
        <v>2234</v>
      </c>
      <c r="N21" s="3">
        <v>3494</v>
      </c>
      <c r="O21" s="3">
        <v>1583</v>
      </c>
      <c r="P21" s="3">
        <v>2038</v>
      </c>
      <c r="Q21" s="3">
        <v>12887</v>
      </c>
      <c r="R21" s="3">
        <v>15386</v>
      </c>
      <c r="S21" s="3">
        <v>8423</v>
      </c>
      <c r="T21" s="3">
        <v>4699</v>
      </c>
      <c r="U21" s="3">
        <v>1508</v>
      </c>
      <c r="V21" s="3">
        <f t="shared" si="1"/>
        <v>52651</v>
      </c>
    </row>
    <row r="22" spans="1:22" x14ac:dyDescent="0.25">
      <c r="B22" s="2" t="s">
        <v>23</v>
      </c>
      <c r="C22" s="3">
        <v>240</v>
      </c>
      <c r="D22" s="3">
        <v>332</v>
      </c>
      <c r="E22" s="3">
        <v>-92</v>
      </c>
      <c r="F22" s="3">
        <v>80</v>
      </c>
      <c r="G22" s="3">
        <v>86</v>
      </c>
      <c r="H22" s="3">
        <v>74</v>
      </c>
      <c r="K22" t="s">
        <v>70</v>
      </c>
      <c r="L22" s="3">
        <v>218</v>
      </c>
      <c r="M22" s="3">
        <v>1267</v>
      </c>
      <c r="N22" s="3">
        <v>2063</v>
      </c>
      <c r="O22" s="3">
        <v>936</v>
      </c>
      <c r="P22" s="3">
        <v>1182</v>
      </c>
      <c r="Q22" s="3">
        <v>7035</v>
      </c>
      <c r="R22" s="3">
        <v>8815</v>
      </c>
      <c r="S22" s="3">
        <v>4908</v>
      </c>
      <c r="T22" s="3">
        <v>2825</v>
      </c>
      <c r="U22" s="3">
        <v>803</v>
      </c>
      <c r="V22" s="3">
        <f t="shared" si="1"/>
        <v>30052</v>
      </c>
    </row>
    <row r="23" spans="1:22" x14ac:dyDescent="0.25">
      <c r="B23" s="2" t="s">
        <v>24</v>
      </c>
      <c r="C23" s="3">
        <v>239</v>
      </c>
      <c r="D23" s="3">
        <v>334</v>
      </c>
      <c r="E23" s="3">
        <v>-95</v>
      </c>
      <c r="F23" s="3">
        <v>79</v>
      </c>
      <c r="G23" s="3">
        <v>88</v>
      </c>
      <c r="H23" s="3">
        <v>72</v>
      </c>
      <c r="K23" t="s">
        <v>73</v>
      </c>
      <c r="L23" s="3">
        <f t="shared" ref="L23:U23" si="2">SUM(L17:L22)</f>
        <v>2245</v>
      </c>
      <c r="M23" s="3">
        <f t="shared" si="2"/>
        <v>12464</v>
      </c>
      <c r="N23" s="3">
        <f t="shared" si="2"/>
        <v>19483</v>
      </c>
      <c r="O23" s="3">
        <f t="shared" si="2"/>
        <v>8750</v>
      </c>
      <c r="P23" s="3">
        <f t="shared" si="2"/>
        <v>11251</v>
      </c>
      <c r="Q23" s="3">
        <f t="shared" si="2"/>
        <v>73237</v>
      </c>
      <c r="R23" s="3">
        <f t="shared" si="2"/>
        <v>83484</v>
      </c>
      <c r="S23" s="3">
        <f t="shared" si="2"/>
        <v>44511</v>
      </c>
      <c r="T23" s="3">
        <f t="shared" si="2"/>
        <v>24365</v>
      </c>
      <c r="U23" s="3">
        <f t="shared" si="2"/>
        <v>6731</v>
      </c>
      <c r="V23" s="3">
        <f t="shared" si="1"/>
        <v>286521</v>
      </c>
    </row>
    <row r="24" spans="1:22" x14ac:dyDescent="0.25">
      <c r="B24" s="2" t="s">
        <v>25</v>
      </c>
      <c r="C24" s="3">
        <v>237</v>
      </c>
      <c r="D24" s="3">
        <v>335</v>
      </c>
      <c r="E24" s="3">
        <v>-98</v>
      </c>
      <c r="F24" s="3">
        <v>79</v>
      </c>
      <c r="G24" s="3">
        <v>90</v>
      </c>
      <c r="H24" s="3">
        <v>71</v>
      </c>
      <c r="K24" s="2"/>
      <c r="L24" s="3"/>
      <c r="M24" s="3"/>
      <c r="N24" s="3"/>
      <c r="O24" s="3"/>
      <c r="P24" s="3"/>
      <c r="Q24" s="3"/>
    </row>
    <row r="25" spans="1:22" x14ac:dyDescent="0.25">
      <c r="B25" s="2" t="s">
        <v>26</v>
      </c>
      <c r="C25" s="3">
        <v>236</v>
      </c>
      <c r="D25" s="3">
        <v>337</v>
      </c>
      <c r="E25" s="3">
        <v>-101</v>
      </c>
      <c r="F25" s="3">
        <v>78</v>
      </c>
      <c r="G25" s="3">
        <v>90</v>
      </c>
      <c r="H25" s="3">
        <v>67</v>
      </c>
      <c r="L25" s="2" t="s">
        <v>74</v>
      </c>
      <c r="M25" s="2" t="s">
        <v>75</v>
      </c>
      <c r="N25" s="2" t="s">
        <v>76</v>
      </c>
      <c r="O25" s="2" t="s">
        <v>77</v>
      </c>
      <c r="P25" s="2" t="s">
        <v>78</v>
      </c>
      <c r="Q25" s="2" t="s">
        <v>79</v>
      </c>
      <c r="R25" s="2" t="s">
        <v>80</v>
      </c>
      <c r="S25" s="2" t="s">
        <v>81</v>
      </c>
      <c r="T25" s="2" t="s">
        <v>82</v>
      </c>
      <c r="U25" s="2" t="s">
        <v>83</v>
      </c>
      <c r="V25" s="2" t="s">
        <v>85</v>
      </c>
    </row>
    <row r="26" spans="1:22" x14ac:dyDescent="0.25">
      <c r="B26" s="2" t="s">
        <v>27</v>
      </c>
      <c r="C26" s="3">
        <v>234</v>
      </c>
      <c r="D26" s="3">
        <v>339</v>
      </c>
      <c r="E26" s="3">
        <v>-105</v>
      </c>
      <c r="F26" s="3">
        <v>77</v>
      </c>
      <c r="G26" s="3">
        <v>92</v>
      </c>
      <c r="H26" s="3">
        <v>64</v>
      </c>
      <c r="K26" t="s">
        <v>65</v>
      </c>
      <c r="L26" s="7">
        <f>L17/$V17*100</f>
        <v>0.78033423758330822</v>
      </c>
      <c r="M26" s="7">
        <f t="shared" ref="M26:U26" si="3">M17/$V17*100</f>
        <v>4.3136072875849827</v>
      </c>
      <c r="N26" s="7">
        <f t="shared" si="3"/>
        <v>6.6780535182022174</v>
      </c>
      <c r="O26" s="7">
        <f t="shared" si="3"/>
        <v>2.987373991091463</v>
      </c>
      <c r="P26" s="7">
        <f t="shared" si="3"/>
        <v>3.9820489634616028</v>
      </c>
      <c r="Q26" s="7">
        <f t="shared" si="3"/>
        <v>26.250041863424762</v>
      </c>
      <c r="R26" s="7">
        <f t="shared" si="3"/>
        <v>28.473826986838141</v>
      </c>
      <c r="S26" s="7">
        <f t="shared" si="3"/>
        <v>15.569844937874677</v>
      </c>
      <c r="T26" s="7">
        <f t="shared" si="3"/>
        <v>8.7377340165444259</v>
      </c>
      <c r="U26" s="7">
        <f t="shared" si="3"/>
        <v>2.2271341973944203</v>
      </c>
      <c r="V26" s="7">
        <f>SUM(S26:U26)</f>
        <v>26.534713151813524</v>
      </c>
    </row>
    <row r="27" spans="1:22" x14ac:dyDescent="0.25">
      <c r="B27" s="2" t="s">
        <v>28</v>
      </c>
      <c r="C27" s="3">
        <v>232</v>
      </c>
      <c r="D27" s="3">
        <v>341</v>
      </c>
      <c r="E27" s="3">
        <v>-109</v>
      </c>
      <c r="F27" s="3">
        <v>77</v>
      </c>
      <c r="G27" s="3">
        <v>93</v>
      </c>
      <c r="H27" s="3">
        <v>61</v>
      </c>
      <c r="K27" t="s">
        <v>66</v>
      </c>
      <c r="L27" s="7">
        <f t="shared" ref="L27:U27" si="4">L18/$V18*100</f>
        <v>0.82268824602865953</v>
      </c>
      <c r="M27" s="7">
        <f t="shared" si="4"/>
        <v>4.5292727435905107</v>
      </c>
      <c r="N27" s="7">
        <f t="shared" si="4"/>
        <v>6.9524635773476531</v>
      </c>
      <c r="O27" s="7">
        <f t="shared" si="4"/>
        <v>3.072366649714303</v>
      </c>
      <c r="P27" s="7">
        <f t="shared" si="4"/>
        <v>3.8262482424387469</v>
      </c>
      <c r="Q27" s="7">
        <f t="shared" si="4"/>
        <v>25.201184671074284</v>
      </c>
      <c r="R27" s="7">
        <f t="shared" si="4"/>
        <v>29.856104346785532</v>
      </c>
      <c r="S27" s="7">
        <f t="shared" si="4"/>
        <v>15.714841295958356</v>
      </c>
      <c r="T27" s="7">
        <f t="shared" si="4"/>
        <v>7.9097735363628203</v>
      </c>
      <c r="U27" s="7">
        <f t="shared" si="4"/>
        <v>2.1150566906991353</v>
      </c>
      <c r="V27" s="7">
        <f t="shared" ref="V27:V32" si="5">SUM(S27:U27)</f>
        <v>25.739671523020313</v>
      </c>
    </row>
    <row r="28" spans="1:22" x14ac:dyDescent="0.25">
      <c r="B28" s="2" t="s">
        <v>29</v>
      </c>
      <c r="C28" s="3">
        <v>230</v>
      </c>
      <c r="D28" s="3">
        <v>342</v>
      </c>
      <c r="E28" s="3">
        <v>-112</v>
      </c>
      <c r="F28" s="3">
        <v>76</v>
      </c>
      <c r="G28" s="3">
        <v>93</v>
      </c>
      <c r="H28" s="3">
        <v>57</v>
      </c>
      <c r="K28" t="s">
        <v>67</v>
      </c>
      <c r="L28" s="7">
        <f t="shared" ref="L28:U28" si="6">L19/$V19*100</f>
        <v>0.80876636967051363</v>
      </c>
      <c r="M28" s="7">
        <f t="shared" si="6"/>
        <v>4.3816898881779585</v>
      </c>
      <c r="N28" s="7">
        <f t="shared" si="6"/>
        <v>6.7452012198768161</v>
      </c>
      <c r="O28" s="7">
        <f t="shared" si="6"/>
        <v>3.016803205166537</v>
      </c>
      <c r="P28" s="7">
        <f t="shared" si="6"/>
        <v>3.9376906057525565</v>
      </c>
      <c r="Q28" s="7">
        <f t="shared" si="6"/>
        <v>26.977814985349518</v>
      </c>
      <c r="R28" s="7">
        <f t="shared" si="6"/>
        <v>28.945165341146922</v>
      </c>
      <c r="S28" s="7">
        <f t="shared" si="6"/>
        <v>14.997309095258027</v>
      </c>
      <c r="T28" s="7">
        <f t="shared" si="6"/>
        <v>8.1041081145727443</v>
      </c>
      <c r="U28" s="7">
        <f t="shared" si="6"/>
        <v>2.0854511750284037</v>
      </c>
      <c r="V28" s="7">
        <f t="shared" si="5"/>
        <v>25.186868384859174</v>
      </c>
    </row>
    <row r="29" spans="1:22" x14ac:dyDescent="0.25">
      <c r="B29" s="2" t="s">
        <v>30</v>
      </c>
      <c r="C29" s="3">
        <v>229</v>
      </c>
      <c r="D29" s="3">
        <v>344</v>
      </c>
      <c r="E29" s="3">
        <v>-115</v>
      </c>
      <c r="F29" s="3">
        <v>75</v>
      </c>
      <c r="G29" s="3">
        <v>93</v>
      </c>
      <c r="H29" s="3">
        <v>53</v>
      </c>
      <c r="K29" t="s">
        <v>68</v>
      </c>
      <c r="L29" s="7">
        <f t="shared" ref="L29:U29" si="7">L20/$V20*100</f>
        <v>0.78625746876697444</v>
      </c>
      <c r="M29" s="7">
        <f t="shared" si="7"/>
        <v>4.3862031504617063</v>
      </c>
      <c r="N29" s="7">
        <f t="shared" si="7"/>
        <v>6.9201520912547529</v>
      </c>
      <c r="O29" s="7">
        <f t="shared" si="7"/>
        <v>3.1151548071700166</v>
      </c>
      <c r="P29" s="7">
        <f t="shared" si="7"/>
        <v>3.9774579033134168</v>
      </c>
      <c r="Q29" s="7">
        <f t="shared" si="7"/>
        <v>25.810700706137968</v>
      </c>
      <c r="R29" s="7">
        <f t="shared" si="7"/>
        <v>29.113253666485605</v>
      </c>
      <c r="S29" s="7">
        <f t="shared" si="7"/>
        <v>15.271591526344377</v>
      </c>
      <c r="T29" s="7">
        <f t="shared" si="7"/>
        <v>8.3745247148288975</v>
      </c>
      <c r="U29" s="7">
        <f t="shared" si="7"/>
        <v>2.2447039652362846</v>
      </c>
      <c r="V29" s="7">
        <f t="shared" si="5"/>
        <v>25.890820206409558</v>
      </c>
    </row>
    <row r="30" spans="1:22" x14ac:dyDescent="0.25">
      <c r="B30" s="2" t="s">
        <v>31</v>
      </c>
      <c r="C30" s="3">
        <v>227</v>
      </c>
      <c r="D30" s="3">
        <v>347</v>
      </c>
      <c r="E30" s="3">
        <v>-120</v>
      </c>
      <c r="F30" s="3">
        <v>74</v>
      </c>
      <c r="G30" s="3">
        <v>94</v>
      </c>
      <c r="H30" s="3">
        <v>48</v>
      </c>
      <c r="K30" t="s">
        <v>69</v>
      </c>
      <c r="L30" s="7">
        <f t="shared" ref="L30:U30" si="8">L21/$V21*100</f>
        <v>0.75782036428557864</v>
      </c>
      <c r="M30" s="7">
        <f t="shared" si="8"/>
        <v>4.2430343203357959</v>
      </c>
      <c r="N30" s="7">
        <f t="shared" si="8"/>
        <v>6.6361512601849917</v>
      </c>
      <c r="O30" s="7">
        <f t="shared" si="8"/>
        <v>3.0065905680803784</v>
      </c>
      <c r="P30" s="7">
        <f t="shared" si="8"/>
        <v>3.8707716852481435</v>
      </c>
      <c r="Q30" s="7">
        <f t="shared" si="8"/>
        <v>24.47626825701316</v>
      </c>
      <c r="R30" s="7">
        <f t="shared" si="8"/>
        <v>29.222616854380735</v>
      </c>
      <c r="S30" s="7">
        <f t="shared" si="8"/>
        <v>15.997796812976011</v>
      </c>
      <c r="T30" s="7">
        <f t="shared" si="8"/>
        <v>8.9248067463106118</v>
      </c>
      <c r="U30" s="7">
        <f t="shared" si="8"/>
        <v>2.8641431311845928</v>
      </c>
      <c r="V30" s="7">
        <f t="shared" si="5"/>
        <v>27.786746690471215</v>
      </c>
    </row>
    <row r="31" spans="1:22" x14ac:dyDescent="0.25">
      <c r="B31" s="2" t="s">
        <v>32</v>
      </c>
      <c r="C31" s="3">
        <v>225</v>
      </c>
      <c r="D31" s="3">
        <v>350</v>
      </c>
      <c r="E31" s="3">
        <v>-125</v>
      </c>
      <c r="F31" s="3">
        <v>74</v>
      </c>
      <c r="G31" s="3">
        <v>94</v>
      </c>
      <c r="H31" s="3">
        <v>43</v>
      </c>
      <c r="K31" t="s">
        <v>70</v>
      </c>
      <c r="L31" s="7">
        <f t="shared" ref="L31:U31" si="9">L22/$V22*100</f>
        <v>0.72540929056302406</v>
      </c>
      <c r="M31" s="7">
        <f t="shared" si="9"/>
        <v>4.2160255557034478</v>
      </c>
      <c r="N31" s="7">
        <f t="shared" si="9"/>
        <v>6.8647677359243975</v>
      </c>
      <c r="O31" s="7">
        <f t="shared" si="9"/>
        <v>3.1146013576467455</v>
      </c>
      <c r="P31" s="7">
        <f t="shared" si="9"/>
        <v>3.933182483694929</v>
      </c>
      <c r="Q31" s="7">
        <f t="shared" si="9"/>
        <v>23.409423665646216</v>
      </c>
      <c r="R31" s="7">
        <f t="shared" si="9"/>
        <v>29.332490350059899</v>
      </c>
      <c r="S31" s="7">
        <f t="shared" si="9"/>
        <v>16.331691734327165</v>
      </c>
      <c r="T31" s="7">
        <f t="shared" si="9"/>
        <v>9.4003726873419406</v>
      </c>
      <c r="U31" s="7">
        <f t="shared" si="9"/>
        <v>2.6720351390922401</v>
      </c>
      <c r="V31" s="7">
        <f t="shared" si="5"/>
        <v>28.404099560761349</v>
      </c>
    </row>
    <row r="32" spans="1:22" x14ac:dyDescent="0.25">
      <c r="A32" t="s">
        <v>65</v>
      </c>
      <c r="B32" s="2"/>
      <c r="C32" s="3">
        <v>6256</v>
      </c>
      <c r="D32" s="3">
        <v>8535</v>
      </c>
      <c r="E32" s="3">
        <v>-2279</v>
      </c>
      <c r="F32" s="3">
        <v>2397</v>
      </c>
      <c r="G32" s="3">
        <v>1845</v>
      </c>
      <c r="H32" s="3">
        <v>1963</v>
      </c>
      <c r="K32" t="s">
        <v>73</v>
      </c>
      <c r="L32" s="7">
        <f t="shared" ref="L32:U32" si="10">L23/$V23*100</f>
        <v>0.78353768135668944</v>
      </c>
      <c r="M32" s="7">
        <f t="shared" si="10"/>
        <v>4.3501174433985641</v>
      </c>
      <c r="N32" s="7">
        <f t="shared" si="10"/>
        <v>6.7998506217694334</v>
      </c>
      <c r="O32" s="7">
        <f t="shared" si="10"/>
        <v>3.0538773772254042</v>
      </c>
      <c r="P32" s="7">
        <f t="shared" si="10"/>
        <v>3.9267627852757738</v>
      </c>
      <c r="Q32" s="7">
        <f t="shared" si="10"/>
        <v>25.560779140097935</v>
      </c>
      <c r="R32" s="7">
        <f t="shared" si="10"/>
        <v>29.137131309746927</v>
      </c>
      <c r="S32" s="7">
        <f t="shared" si="10"/>
        <v>15.534986964306279</v>
      </c>
      <c r="T32" s="7">
        <f t="shared" si="10"/>
        <v>8.5037396909825098</v>
      </c>
      <c r="U32" s="7">
        <f t="shared" si="10"/>
        <v>2.3492169858404797</v>
      </c>
      <c r="V32" s="7">
        <f t="shared" si="5"/>
        <v>26.387943641129269</v>
      </c>
    </row>
    <row r="33" spans="1:15" x14ac:dyDescent="0.25">
      <c r="A33" s="2" t="s">
        <v>33</v>
      </c>
      <c r="B33" s="2" t="s">
        <v>6</v>
      </c>
      <c r="C33" s="3">
        <v>246</v>
      </c>
      <c r="D33" s="3">
        <v>225</v>
      </c>
      <c r="E33" s="3">
        <v>21</v>
      </c>
      <c r="F33" s="3">
        <v>229</v>
      </c>
      <c r="G33" s="3">
        <v>266</v>
      </c>
      <c r="H33" s="3">
        <v>516</v>
      </c>
    </row>
    <row r="34" spans="1:15" x14ac:dyDescent="0.25">
      <c r="B34" s="2" t="s">
        <v>7</v>
      </c>
      <c r="C34" s="3">
        <v>254</v>
      </c>
      <c r="D34" s="3">
        <v>229</v>
      </c>
      <c r="E34" s="3">
        <v>25</v>
      </c>
      <c r="F34" s="3">
        <v>161</v>
      </c>
      <c r="G34" s="3">
        <v>251</v>
      </c>
      <c r="H34" s="3">
        <v>437</v>
      </c>
    </row>
    <row r="35" spans="1:15" x14ac:dyDescent="0.25">
      <c r="B35" s="2" t="s">
        <v>8</v>
      </c>
      <c r="C35" s="3">
        <v>260</v>
      </c>
      <c r="D35" s="3">
        <v>232</v>
      </c>
      <c r="E35" s="3">
        <v>28</v>
      </c>
      <c r="F35" s="3">
        <v>101</v>
      </c>
      <c r="G35" s="3">
        <v>236</v>
      </c>
      <c r="H35" s="3">
        <v>365</v>
      </c>
    </row>
    <row r="36" spans="1:15" x14ac:dyDescent="0.25">
      <c r="B36" s="2" t="s">
        <v>9</v>
      </c>
      <c r="C36" s="3">
        <v>264</v>
      </c>
      <c r="D36" s="3">
        <v>237</v>
      </c>
      <c r="E36" s="3">
        <v>27</v>
      </c>
      <c r="F36" s="3">
        <v>85</v>
      </c>
      <c r="G36" s="3">
        <v>224</v>
      </c>
      <c r="H36" s="3">
        <v>336</v>
      </c>
      <c r="M36" s="2" t="s">
        <v>86</v>
      </c>
    </row>
    <row r="37" spans="1:15" x14ac:dyDescent="0.25">
      <c r="B37" s="2" t="s">
        <v>10</v>
      </c>
      <c r="C37" s="3">
        <v>268</v>
      </c>
      <c r="D37" s="3">
        <v>242</v>
      </c>
      <c r="E37" s="3">
        <v>26</v>
      </c>
      <c r="F37" s="3">
        <v>73</v>
      </c>
      <c r="G37" s="3">
        <v>212</v>
      </c>
      <c r="H37" s="3">
        <v>311</v>
      </c>
      <c r="M37" s="2" t="s">
        <v>6</v>
      </c>
      <c r="N37" s="2" t="s">
        <v>22</v>
      </c>
      <c r="O37" s="2" t="s">
        <v>32</v>
      </c>
    </row>
    <row r="38" spans="1:15" x14ac:dyDescent="0.25">
      <c r="B38" s="2" t="s">
        <v>11</v>
      </c>
      <c r="C38" s="3">
        <v>270</v>
      </c>
      <c r="D38" s="3">
        <v>248</v>
      </c>
      <c r="E38" s="3">
        <v>22</v>
      </c>
      <c r="F38" s="3">
        <v>60</v>
      </c>
      <c r="G38" s="3">
        <v>204</v>
      </c>
      <c r="H38" s="3">
        <v>286</v>
      </c>
      <c r="K38" s="2" t="s">
        <v>87</v>
      </c>
      <c r="L38" s="2" t="s">
        <v>74</v>
      </c>
      <c r="M38" s="3">
        <v>2084</v>
      </c>
      <c r="N38" s="3">
        <v>2381</v>
      </c>
      <c r="O38" s="3">
        <v>2245</v>
      </c>
    </row>
    <row r="39" spans="1:15" x14ac:dyDescent="0.25">
      <c r="B39" s="2" t="s">
        <v>12</v>
      </c>
      <c r="C39" s="3">
        <v>272</v>
      </c>
      <c r="D39" s="3">
        <v>253</v>
      </c>
      <c r="E39" s="3">
        <v>19</v>
      </c>
      <c r="F39" s="3">
        <v>60</v>
      </c>
      <c r="G39" s="3">
        <v>203</v>
      </c>
      <c r="H39" s="3">
        <v>282</v>
      </c>
      <c r="L39" s="2" t="s">
        <v>75</v>
      </c>
      <c r="M39" s="3">
        <v>12224</v>
      </c>
      <c r="N39" s="3">
        <v>12922</v>
      </c>
      <c r="O39" s="3">
        <v>12464</v>
      </c>
    </row>
    <row r="40" spans="1:15" x14ac:dyDescent="0.25">
      <c r="B40" s="2" t="s">
        <v>13</v>
      </c>
      <c r="C40" s="3">
        <v>274</v>
      </c>
      <c r="D40" s="3">
        <v>260</v>
      </c>
      <c r="E40" s="3">
        <v>14</v>
      </c>
      <c r="F40" s="3">
        <v>59</v>
      </c>
      <c r="G40" s="3">
        <v>204</v>
      </c>
      <c r="H40" s="3">
        <v>277</v>
      </c>
      <c r="L40" s="2" t="s">
        <v>76</v>
      </c>
      <c r="M40" s="3">
        <v>19973</v>
      </c>
      <c r="N40" s="3">
        <v>18803</v>
      </c>
      <c r="O40" s="3">
        <v>19483</v>
      </c>
    </row>
    <row r="41" spans="1:15" x14ac:dyDescent="0.25">
      <c r="B41" s="2" t="s">
        <v>14</v>
      </c>
      <c r="C41" s="3">
        <v>276</v>
      </c>
      <c r="D41" s="3">
        <v>267</v>
      </c>
      <c r="E41" s="3">
        <v>9</v>
      </c>
      <c r="F41" s="3">
        <v>59</v>
      </c>
      <c r="G41" s="3">
        <v>203</v>
      </c>
      <c r="H41" s="3">
        <v>271</v>
      </c>
      <c r="L41" s="2" t="s">
        <v>77</v>
      </c>
      <c r="M41" s="3">
        <v>9486</v>
      </c>
      <c r="N41" s="3">
        <v>8052</v>
      </c>
      <c r="O41" s="3">
        <v>8750</v>
      </c>
    </row>
    <row r="42" spans="1:15" x14ac:dyDescent="0.25">
      <c r="B42" s="2" t="s">
        <v>15</v>
      </c>
      <c r="C42" s="3">
        <v>279</v>
      </c>
      <c r="D42" s="3">
        <v>273</v>
      </c>
      <c r="E42" s="3">
        <v>6</v>
      </c>
      <c r="F42" s="3">
        <v>57</v>
      </c>
      <c r="G42" s="3">
        <v>202</v>
      </c>
      <c r="H42" s="3">
        <v>265</v>
      </c>
      <c r="L42" s="2" t="s">
        <v>78</v>
      </c>
      <c r="M42" s="3">
        <v>12489</v>
      </c>
      <c r="N42" s="3">
        <v>10745</v>
      </c>
      <c r="O42" s="3">
        <v>11251</v>
      </c>
    </row>
    <row r="43" spans="1:15" x14ac:dyDescent="0.25">
      <c r="B43" s="2" t="s">
        <v>16</v>
      </c>
      <c r="C43" s="3">
        <v>281</v>
      </c>
      <c r="D43" s="3">
        <v>280</v>
      </c>
      <c r="E43" s="3">
        <v>1</v>
      </c>
      <c r="F43" s="3">
        <v>57</v>
      </c>
      <c r="G43" s="3">
        <v>201</v>
      </c>
      <c r="H43" s="3">
        <v>259</v>
      </c>
      <c r="L43" s="2" t="s">
        <v>79</v>
      </c>
      <c r="M43" s="3">
        <v>76097</v>
      </c>
      <c r="N43" s="3">
        <v>76297</v>
      </c>
      <c r="O43" s="3">
        <v>73237</v>
      </c>
    </row>
    <row r="44" spans="1:15" x14ac:dyDescent="0.25">
      <c r="B44" s="2" t="s">
        <v>17</v>
      </c>
      <c r="C44" s="3">
        <v>285</v>
      </c>
      <c r="D44" s="3">
        <v>286</v>
      </c>
      <c r="E44" s="3">
        <v>-1</v>
      </c>
      <c r="F44" s="3">
        <v>57</v>
      </c>
      <c r="G44" s="3">
        <v>200</v>
      </c>
      <c r="H44" s="3">
        <v>256</v>
      </c>
      <c r="L44" s="2" t="s">
        <v>80</v>
      </c>
      <c r="M44" s="3">
        <v>75919</v>
      </c>
      <c r="N44" s="3">
        <v>80626</v>
      </c>
      <c r="O44" s="3">
        <v>83484</v>
      </c>
    </row>
    <row r="45" spans="1:15" x14ac:dyDescent="0.25">
      <c r="B45" s="2" t="s">
        <v>18</v>
      </c>
      <c r="C45" s="3">
        <v>284</v>
      </c>
      <c r="D45" s="3">
        <v>293</v>
      </c>
      <c r="E45" s="3">
        <v>-9</v>
      </c>
      <c r="F45" s="3">
        <v>55</v>
      </c>
      <c r="G45" s="3">
        <v>200</v>
      </c>
      <c r="H45" s="3">
        <v>246</v>
      </c>
      <c r="L45" s="2" t="s">
        <v>81</v>
      </c>
      <c r="M45" s="3">
        <v>34934</v>
      </c>
      <c r="N45" s="3">
        <v>43634</v>
      </c>
      <c r="O45" s="3">
        <v>44511</v>
      </c>
    </row>
    <row r="46" spans="1:15" x14ac:dyDescent="0.25">
      <c r="B46" s="2" t="s">
        <v>19</v>
      </c>
      <c r="C46" s="3">
        <v>283</v>
      </c>
      <c r="D46" s="3">
        <v>298</v>
      </c>
      <c r="E46" s="3">
        <v>-15</v>
      </c>
      <c r="F46" s="3">
        <v>55</v>
      </c>
      <c r="G46" s="3">
        <v>198</v>
      </c>
      <c r="H46" s="3">
        <v>238</v>
      </c>
      <c r="L46" s="2" t="s">
        <v>82</v>
      </c>
      <c r="M46" s="3">
        <v>10944</v>
      </c>
      <c r="N46" s="3">
        <v>19624</v>
      </c>
      <c r="O46" s="3">
        <v>24365</v>
      </c>
    </row>
    <row r="47" spans="1:15" x14ac:dyDescent="0.25">
      <c r="B47" s="2" t="s">
        <v>20</v>
      </c>
      <c r="C47" s="3">
        <v>282</v>
      </c>
      <c r="D47" s="3">
        <v>304</v>
      </c>
      <c r="E47" s="3">
        <v>-22</v>
      </c>
      <c r="F47" s="3">
        <v>54</v>
      </c>
      <c r="G47" s="3">
        <v>198</v>
      </c>
      <c r="H47" s="3">
        <v>230</v>
      </c>
      <c r="L47" s="2" t="s">
        <v>83</v>
      </c>
      <c r="M47" s="3">
        <v>2282</v>
      </c>
      <c r="N47" s="3">
        <v>4814</v>
      </c>
      <c r="O47" s="3">
        <v>6731</v>
      </c>
    </row>
    <row r="48" spans="1:15" x14ac:dyDescent="0.25">
      <c r="B48" s="2" t="s">
        <v>21</v>
      </c>
      <c r="C48" s="3">
        <v>282</v>
      </c>
      <c r="D48" s="3">
        <v>310</v>
      </c>
      <c r="E48" s="3">
        <v>-28</v>
      </c>
      <c r="F48" s="3">
        <v>53</v>
      </c>
      <c r="G48" s="3">
        <v>197</v>
      </c>
      <c r="H48" s="3">
        <v>222</v>
      </c>
      <c r="M48" s="3">
        <f>SUM(M38:M47)</f>
        <v>256432</v>
      </c>
      <c r="N48" s="3">
        <f t="shared" ref="N48:O48" si="11">SUM(N38:N47)</f>
        <v>277898</v>
      </c>
      <c r="O48" s="3">
        <f t="shared" si="11"/>
        <v>286521</v>
      </c>
    </row>
    <row r="49" spans="1:15" x14ac:dyDescent="0.25">
      <c r="B49" s="2" t="s">
        <v>22</v>
      </c>
      <c r="C49" s="3">
        <v>282</v>
      </c>
      <c r="D49" s="3">
        <v>315</v>
      </c>
      <c r="E49" s="3">
        <v>-33</v>
      </c>
      <c r="F49" s="3">
        <v>52</v>
      </c>
      <c r="G49" s="3">
        <v>194</v>
      </c>
      <c r="H49" s="3">
        <v>213</v>
      </c>
    </row>
    <row r="50" spans="1:15" x14ac:dyDescent="0.25">
      <c r="B50" s="2" t="s">
        <v>23</v>
      </c>
      <c r="C50" s="3">
        <v>280</v>
      </c>
      <c r="D50" s="3">
        <v>319</v>
      </c>
      <c r="E50" s="3">
        <v>-39</v>
      </c>
      <c r="F50" s="3">
        <v>52</v>
      </c>
      <c r="G50" s="3">
        <v>192</v>
      </c>
      <c r="H50" s="3">
        <v>205</v>
      </c>
      <c r="L50" s="2" t="s">
        <v>88</v>
      </c>
      <c r="M50" s="8">
        <f>(SUM(M45:M47))/M48</f>
        <v>0.18780807387533538</v>
      </c>
      <c r="N50" s="8">
        <f t="shared" ref="N50:O50" si="12">(SUM(N45:N47))/N48</f>
        <v>0.24495318426185148</v>
      </c>
      <c r="O50" s="8">
        <f t="shared" si="12"/>
        <v>0.26387943641129269</v>
      </c>
    </row>
    <row r="51" spans="1:15" x14ac:dyDescent="0.25">
      <c r="B51" s="2" t="s">
        <v>24</v>
      </c>
      <c r="C51" s="3">
        <v>279</v>
      </c>
      <c r="D51" s="3">
        <v>324</v>
      </c>
      <c r="E51" s="3">
        <v>-45</v>
      </c>
      <c r="F51" s="3">
        <v>51</v>
      </c>
      <c r="G51" s="3">
        <v>191</v>
      </c>
      <c r="H51" s="3">
        <v>197</v>
      </c>
    </row>
    <row r="52" spans="1:15" x14ac:dyDescent="0.25">
      <c r="B52" s="2" t="s">
        <v>25</v>
      </c>
      <c r="C52" s="3">
        <v>278</v>
      </c>
      <c r="D52" s="3">
        <v>328</v>
      </c>
      <c r="E52" s="3">
        <v>-50</v>
      </c>
      <c r="F52" s="3">
        <v>50</v>
      </c>
      <c r="G52" s="3">
        <v>188</v>
      </c>
      <c r="H52" s="3">
        <v>188</v>
      </c>
    </row>
    <row r="53" spans="1:15" x14ac:dyDescent="0.25">
      <c r="B53" s="2" t="s">
        <v>26</v>
      </c>
      <c r="C53" s="3">
        <v>277</v>
      </c>
      <c r="D53" s="3">
        <v>332</v>
      </c>
      <c r="E53" s="3">
        <v>-55</v>
      </c>
      <c r="F53" s="3">
        <v>50</v>
      </c>
      <c r="G53" s="3">
        <v>186</v>
      </c>
      <c r="H53" s="3">
        <v>181</v>
      </c>
    </row>
    <row r="54" spans="1:15" x14ac:dyDescent="0.25">
      <c r="B54" s="2" t="s">
        <v>27</v>
      </c>
      <c r="C54" s="3">
        <v>275</v>
      </c>
      <c r="D54" s="3">
        <v>336</v>
      </c>
      <c r="E54" s="3">
        <v>-61</v>
      </c>
      <c r="F54" s="3">
        <v>49</v>
      </c>
      <c r="G54" s="3">
        <v>184</v>
      </c>
      <c r="H54" s="3">
        <v>172</v>
      </c>
    </row>
    <row r="55" spans="1:15" x14ac:dyDescent="0.25">
      <c r="B55" s="2" t="s">
        <v>28</v>
      </c>
      <c r="C55" s="3">
        <v>272</v>
      </c>
      <c r="D55" s="3">
        <v>339</v>
      </c>
      <c r="E55" s="3">
        <v>-67</v>
      </c>
      <c r="F55" s="3">
        <v>48</v>
      </c>
      <c r="G55" s="3">
        <v>182</v>
      </c>
      <c r="H55" s="3">
        <v>163</v>
      </c>
    </row>
    <row r="56" spans="1:15" x14ac:dyDescent="0.25">
      <c r="B56" s="2" t="s">
        <v>29</v>
      </c>
      <c r="C56" s="3">
        <v>272</v>
      </c>
      <c r="D56" s="3">
        <v>344</v>
      </c>
      <c r="E56" s="3">
        <v>-72</v>
      </c>
      <c r="F56" s="3">
        <v>48</v>
      </c>
      <c r="G56" s="3">
        <v>179</v>
      </c>
      <c r="H56" s="3">
        <v>155</v>
      </c>
    </row>
    <row r="57" spans="1:15" x14ac:dyDescent="0.25">
      <c r="B57" s="2" t="s">
        <v>30</v>
      </c>
      <c r="C57" s="3">
        <v>269</v>
      </c>
      <c r="D57" s="3">
        <v>347</v>
      </c>
      <c r="E57" s="3">
        <v>-78</v>
      </c>
      <c r="F57" s="3">
        <v>47</v>
      </c>
      <c r="G57" s="3">
        <v>177</v>
      </c>
      <c r="H57" s="3">
        <v>146</v>
      </c>
    </row>
    <row r="58" spans="1:15" x14ac:dyDescent="0.25">
      <c r="B58" s="2" t="s">
        <v>31</v>
      </c>
      <c r="C58" s="3">
        <v>268</v>
      </c>
      <c r="D58" s="3">
        <v>350</v>
      </c>
      <c r="E58" s="3">
        <v>-82</v>
      </c>
      <c r="F58" s="3">
        <v>45</v>
      </c>
      <c r="G58" s="3">
        <v>175</v>
      </c>
      <c r="H58" s="3">
        <v>138</v>
      </c>
    </row>
    <row r="59" spans="1:15" x14ac:dyDescent="0.25">
      <c r="B59" s="2" t="s">
        <v>32</v>
      </c>
      <c r="C59" s="3">
        <v>266</v>
      </c>
      <c r="D59" s="3">
        <v>355</v>
      </c>
      <c r="E59" s="3">
        <v>-89</v>
      </c>
      <c r="F59" s="3">
        <v>46</v>
      </c>
      <c r="G59" s="3">
        <v>173</v>
      </c>
      <c r="H59" s="3">
        <v>130</v>
      </c>
    </row>
    <row r="60" spans="1:15" x14ac:dyDescent="0.25">
      <c r="A60" t="s">
        <v>66</v>
      </c>
      <c r="B60" s="2"/>
      <c r="C60" s="3">
        <v>7378</v>
      </c>
      <c r="D60" s="3">
        <v>7926</v>
      </c>
      <c r="E60" s="3">
        <v>-548</v>
      </c>
      <c r="F60" s="3">
        <v>1813</v>
      </c>
      <c r="G60" s="3">
        <v>5420</v>
      </c>
      <c r="H60" s="3">
        <v>6685</v>
      </c>
    </row>
    <row r="61" spans="1:15" x14ac:dyDescent="0.25">
      <c r="A61" s="2" t="s">
        <v>34</v>
      </c>
      <c r="B61" s="2" t="s">
        <v>6</v>
      </c>
      <c r="C61" s="3">
        <v>512</v>
      </c>
      <c r="D61" s="3">
        <v>502</v>
      </c>
      <c r="E61" s="3">
        <v>10</v>
      </c>
      <c r="F61" s="3">
        <v>295</v>
      </c>
      <c r="G61" s="3">
        <v>175</v>
      </c>
      <c r="H61" s="3">
        <v>480</v>
      </c>
    </row>
    <row r="62" spans="1:15" x14ac:dyDescent="0.25">
      <c r="B62" s="2" t="s">
        <v>7</v>
      </c>
      <c r="C62" s="3">
        <v>521</v>
      </c>
      <c r="D62" s="3">
        <v>505</v>
      </c>
      <c r="E62" s="3">
        <v>16</v>
      </c>
      <c r="F62" s="3">
        <v>212</v>
      </c>
      <c r="G62" s="3">
        <v>185</v>
      </c>
      <c r="H62" s="3">
        <v>413</v>
      </c>
    </row>
    <row r="63" spans="1:15" x14ac:dyDescent="0.25">
      <c r="B63" s="2" t="s">
        <v>8</v>
      </c>
      <c r="C63" s="3">
        <v>527</v>
      </c>
      <c r="D63" s="3">
        <v>508</v>
      </c>
      <c r="E63" s="3">
        <v>19</v>
      </c>
      <c r="F63" s="3">
        <v>130</v>
      </c>
      <c r="G63" s="3">
        <v>190</v>
      </c>
      <c r="H63" s="3">
        <v>339</v>
      </c>
    </row>
    <row r="64" spans="1:15" x14ac:dyDescent="0.25">
      <c r="B64" s="2" t="s">
        <v>9</v>
      </c>
      <c r="C64" s="3">
        <v>532</v>
      </c>
      <c r="D64" s="3">
        <v>514</v>
      </c>
      <c r="E64" s="3">
        <v>18</v>
      </c>
      <c r="F64" s="3">
        <v>132</v>
      </c>
      <c r="G64" s="3">
        <v>196</v>
      </c>
      <c r="H64" s="3">
        <v>346</v>
      </c>
    </row>
    <row r="65" spans="2:8" x14ac:dyDescent="0.25">
      <c r="B65" s="2" t="s">
        <v>10</v>
      </c>
      <c r="C65" s="3">
        <v>535</v>
      </c>
      <c r="D65" s="3">
        <v>519</v>
      </c>
      <c r="E65" s="3">
        <v>16</v>
      </c>
      <c r="F65" s="3">
        <v>137</v>
      </c>
      <c r="G65" s="3">
        <v>203</v>
      </c>
      <c r="H65" s="3">
        <v>356</v>
      </c>
    </row>
    <row r="66" spans="2:8" x14ac:dyDescent="0.25">
      <c r="B66" s="2" t="s">
        <v>11</v>
      </c>
      <c r="C66" s="3">
        <v>538</v>
      </c>
      <c r="D66" s="3">
        <v>527</v>
      </c>
      <c r="E66" s="3">
        <v>11</v>
      </c>
      <c r="F66" s="3">
        <v>141</v>
      </c>
      <c r="G66" s="3">
        <v>209</v>
      </c>
      <c r="H66" s="3">
        <v>361</v>
      </c>
    </row>
    <row r="67" spans="2:8" x14ac:dyDescent="0.25">
      <c r="B67" s="2" t="s">
        <v>12</v>
      </c>
      <c r="C67" s="3">
        <v>541</v>
      </c>
      <c r="D67" s="3">
        <v>535</v>
      </c>
      <c r="E67" s="3">
        <v>6</v>
      </c>
      <c r="F67" s="3">
        <v>141</v>
      </c>
      <c r="G67" s="3">
        <v>208</v>
      </c>
      <c r="H67" s="3">
        <v>355</v>
      </c>
    </row>
    <row r="68" spans="2:8" x14ac:dyDescent="0.25">
      <c r="B68" s="2" t="s">
        <v>13</v>
      </c>
      <c r="C68" s="3">
        <v>545</v>
      </c>
      <c r="D68" s="3">
        <v>543</v>
      </c>
      <c r="E68" s="3">
        <v>2</v>
      </c>
      <c r="F68" s="3">
        <v>141</v>
      </c>
      <c r="G68" s="3">
        <v>207</v>
      </c>
      <c r="H68" s="3">
        <v>350</v>
      </c>
    </row>
    <row r="69" spans="2:8" x14ac:dyDescent="0.25">
      <c r="B69" s="2" t="s">
        <v>14</v>
      </c>
      <c r="C69" s="3">
        <v>549</v>
      </c>
      <c r="D69" s="3">
        <v>552</v>
      </c>
      <c r="E69" s="3">
        <v>-3</v>
      </c>
      <c r="F69" s="3">
        <v>138</v>
      </c>
      <c r="G69" s="3">
        <v>208</v>
      </c>
      <c r="H69" s="3">
        <v>343</v>
      </c>
    </row>
    <row r="70" spans="2:8" x14ac:dyDescent="0.25">
      <c r="B70" s="2" t="s">
        <v>15</v>
      </c>
      <c r="C70" s="3">
        <v>554</v>
      </c>
      <c r="D70" s="3">
        <v>561</v>
      </c>
      <c r="E70" s="3">
        <v>-7</v>
      </c>
      <c r="F70" s="3">
        <v>138</v>
      </c>
      <c r="G70" s="3">
        <v>206</v>
      </c>
      <c r="H70" s="3">
        <v>337</v>
      </c>
    </row>
    <row r="71" spans="2:8" x14ac:dyDescent="0.25">
      <c r="B71" s="2" t="s">
        <v>16</v>
      </c>
      <c r="C71" s="3">
        <v>560</v>
      </c>
      <c r="D71" s="3">
        <v>572</v>
      </c>
      <c r="E71" s="3">
        <v>-12</v>
      </c>
      <c r="F71" s="3">
        <v>137</v>
      </c>
      <c r="G71" s="3">
        <v>207</v>
      </c>
      <c r="H71" s="3">
        <v>332</v>
      </c>
    </row>
    <row r="72" spans="2:8" x14ac:dyDescent="0.25">
      <c r="B72" s="2" t="s">
        <v>17</v>
      </c>
      <c r="C72" s="3">
        <v>567</v>
      </c>
      <c r="D72" s="3">
        <v>581</v>
      </c>
      <c r="E72" s="3">
        <v>-14</v>
      </c>
      <c r="F72" s="3">
        <v>136</v>
      </c>
      <c r="G72" s="3">
        <v>206</v>
      </c>
      <c r="H72" s="3">
        <v>328</v>
      </c>
    </row>
    <row r="73" spans="2:8" x14ac:dyDescent="0.25">
      <c r="B73" s="2" t="s">
        <v>18</v>
      </c>
      <c r="C73" s="3">
        <v>566</v>
      </c>
      <c r="D73" s="3">
        <v>591</v>
      </c>
      <c r="E73" s="3">
        <v>-25</v>
      </c>
      <c r="F73" s="3">
        <v>134</v>
      </c>
      <c r="G73" s="3">
        <v>207</v>
      </c>
      <c r="H73" s="3">
        <v>316</v>
      </c>
    </row>
    <row r="74" spans="2:8" x14ac:dyDescent="0.25">
      <c r="B74" s="2" t="s">
        <v>19</v>
      </c>
      <c r="C74" s="3">
        <v>566</v>
      </c>
      <c r="D74" s="3">
        <v>600</v>
      </c>
      <c r="E74" s="3">
        <v>-34</v>
      </c>
      <c r="F74" s="3">
        <v>132</v>
      </c>
      <c r="G74" s="3">
        <v>206</v>
      </c>
      <c r="H74" s="3">
        <v>304</v>
      </c>
    </row>
    <row r="75" spans="2:8" x14ac:dyDescent="0.25">
      <c r="B75" s="2" t="s">
        <v>20</v>
      </c>
      <c r="C75" s="3">
        <v>565</v>
      </c>
      <c r="D75" s="3">
        <v>611</v>
      </c>
      <c r="E75" s="3">
        <v>-46</v>
      </c>
      <c r="F75" s="3">
        <v>131</v>
      </c>
      <c r="G75" s="3">
        <v>206</v>
      </c>
      <c r="H75" s="3">
        <v>291</v>
      </c>
    </row>
    <row r="76" spans="2:8" x14ac:dyDescent="0.25">
      <c r="B76" s="2" t="s">
        <v>21</v>
      </c>
      <c r="C76" s="3">
        <v>564</v>
      </c>
      <c r="D76" s="3">
        <v>619</v>
      </c>
      <c r="E76" s="3">
        <v>-55</v>
      </c>
      <c r="F76" s="3">
        <v>129</v>
      </c>
      <c r="G76" s="3">
        <v>207</v>
      </c>
      <c r="H76" s="3">
        <v>281</v>
      </c>
    </row>
    <row r="77" spans="2:8" x14ac:dyDescent="0.25">
      <c r="B77" s="2" t="s">
        <v>22</v>
      </c>
      <c r="C77" s="3">
        <v>563</v>
      </c>
      <c r="D77" s="3">
        <v>629</v>
      </c>
      <c r="E77" s="3">
        <v>-66</v>
      </c>
      <c r="F77" s="3">
        <v>128</v>
      </c>
      <c r="G77" s="3">
        <v>207</v>
      </c>
      <c r="H77" s="3">
        <v>269</v>
      </c>
    </row>
    <row r="78" spans="2:8" x14ac:dyDescent="0.25">
      <c r="B78" s="2" t="s">
        <v>23</v>
      </c>
      <c r="C78" s="3">
        <v>561</v>
      </c>
      <c r="D78" s="3">
        <v>636</v>
      </c>
      <c r="E78" s="3">
        <v>-75</v>
      </c>
      <c r="F78" s="3">
        <v>127</v>
      </c>
      <c r="G78" s="3">
        <v>209</v>
      </c>
      <c r="H78" s="3">
        <v>261</v>
      </c>
    </row>
    <row r="79" spans="2:8" x14ac:dyDescent="0.25">
      <c r="B79" s="2" t="s">
        <v>24</v>
      </c>
      <c r="C79" s="3">
        <v>559</v>
      </c>
      <c r="D79" s="3">
        <v>646</v>
      </c>
      <c r="E79" s="3">
        <v>-87</v>
      </c>
      <c r="F79" s="3">
        <v>125</v>
      </c>
      <c r="G79" s="3">
        <v>212</v>
      </c>
      <c r="H79" s="3">
        <v>250</v>
      </c>
    </row>
    <row r="80" spans="2:8" x14ac:dyDescent="0.25">
      <c r="B80" s="2" t="s">
        <v>25</v>
      </c>
      <c r="C80" s="3">
        <v>555</v>
      </c>
      <c r="D80" s="3">
        <v>653</v>
      </c>
      <c r="E80" s="3">
        <v>-98</v>
      </c>
      <c r="F80" s="3">
        <v>125</v>
      </c>
      <c r="G80" s="3">
        <v>212</v>
      </c>
      <c r="H80" s="3">
        <v>239</v>
      </c>
    </row>
    <row r="81" spans="1:8" x14ac:dyDescent="0.25">
      <c r="B81" s="2" t="s">
        <v>26</v>
      </c>
      <c r="C81" s="3">
        <v>552</v>
      </c>
      <c r="D81" s="3">
        <v>661</v>
      </c>
      <c r="E81" s="3">
        <v>-109</v>
      </c>
      <c r="F81" s="3">
        <v>123</v>
      </c>
      <c r="G81" s="3">
        <v>212</v>
      </c>
      <c r="H81" s="3">
        <v>226</v>
      </c>
    </row>
    <row r="82" spans="1:8" x14ac:dyDescent="0.25">
      <c r="B82" s="2" t="s">
        <v>27</v>
      </c>
      <c r="C82" s="3">
        <v>549</v>
      </c>
      <c r="D82" s="3">
        <v>668</v>
      </c>
      <c r="E82" s="3">
        <v>-119</v>
      </c>
      <c r="F82" s="3">
        <v>121</v>
      </c>
      <c r="G82" s="3">
        <v>213</v>
      </c>
      <c r="H82" s="3">
        <v>215</v>
      </c>
    </row>
    <row r="83" spans="1:8" x14ac:dyDescent="0.25">
      <c r="B83" s="2" t="s">
        <v>28</v>
      </c>
      <c r="C83" s="3">
        <v>544</v>
      </c>
      <c r="D83" s="3">
        <v>677</v>
      </c>
      <c r="E83" s="3">
        <v>-133</v>
      </c>
      <c r="F83" s="3">
        <v>121</v>
      </c>
      <c r="G83" s="3">
        <v>213</v>
      </c>
      <c r="H83" s="3">
        <v>201</v>
      </c>
    </row>
    <row r="84" spans="1:8" x14ac:dyDescent="0.25">
      <c r="B84" s="2" t="s">
        <v>29</v>
      </c>
      <c r="C84" s="3">
        <v>539</v>
      </c>
      <c r="D84" s="3">
        <v>683</v>
      </c>
      <c r="E84" s="3">
        <v>-144</v>
      </c>
      <c r="F84" s="3">
        <v>119</v>
      </c>
      <c r="G84" s="3">
        <v>213</v>
      </c>
      <c r="H84" s="3">
        <v>188</v>
      </c>
    </row>
    <row r="85" spans="1:8" x14ac:dyDescent="0.25">
      <c r="B85" s="2" t="s">
        <v>30</v>
      </c>
      <c r="C85" s="3">
        <v>536</v>
      </c>
      <c r="D85" s="3">
        <v>692</v>
      </c>
      <c r="E85" s="3">
        <v>-156</v>
      </c>
      <c r="F85" s="3">
        <v>117</v>
      </c>
      <c r="G85" s="3">
        <v>214</v>
      </c>
      <c r="H85" s="3">
        <v>175</v>
      </c>
    </row>
    <row r="86" spans="1:8" x14ac:dyDescent="0.25">
      <c r="B86" s="2" t="s">
        <v>31</v>
      </c>
      <c r="C86" s="3">
        <v>531</v>
      </c>
      <c r="D86" s="3">
        <v>699</v>
      </c>
      <c r="E86" s="3">
        <v>-168</v>
      </c>
      <c r="F86" s="3">
        <v>116</v>
      </c>
      <c r="G86" s="3">
        <v>214</v>
      </c>
      <c r="H86" s="3">
        <v>162</v>
      </c>
    </row>
    <row r="87" spans="1:8" x14ac:dyDescent="0.25">
      <c r="B87" s="2" t="s">
        <v>32</v>
      </c>
      <c r="C87" s="3">
        <v>527</v>
      </c>
      <c r="D87" s="3">
        <v>707</v>
      </c>
      <c r="E87" s="3">
        <v>-180</v>
      </c>
      <c r="F87" s="3">
        <v>115</v>
      </c>
      <c r="G87" s="3">
        <v>212</v>
      </c>
      <c r="H87" s="3">
        <v>147</v>
      </c>
    </row>
    <row r="88" spans="1:8" x14ac:dyDescent="0.25">
      <c r="B88" s="2"/>
      <c r="C88" s="3">
        <v>14758</v>
      </c>
      <c r="D88" s="3">
        <v>16191</v>
      </c>
      <c r="E88" s="3">
        <v>-1433</v>
      </c>
      <c r="F88" s="3">
        <v>3741</v>
      </c>
      <c r="G88" s="3">
        <v>5557</v>
      </c>
      <c r="H88" s="3">
        <v>7865</v>
      </c>
    </row>
    <row r="89" spans="1:8" x14ac:dyDescent="0.25">
      <c r="A89" s="2" t="s">
        <v>35</v>
      </c>
      <c r="B89" s="2" t="s">
        <v>6</v>
      </c>
      <c r="C89" s="3">
        <v>534</v>
      </c>
      <c r="D89" s="3">
        <v>586</v>
      </c>
      <c r="E89" s="3">
        <v>-52</v>
      </c>
      <c r="F89" s="3">
        <v>298</v>
      </c>
      <c r="G89" s="3">
        <v>158</v>
      </c>
      <c r="H89" s="3">
        <v>404</v>
      </c>
    </row>
    <row r="90" spans="1:8" x14ac:dyDescent="0.25">
      <c r="B90" s="2" t="s">
        <v>7</v>
      </c>
      <c r="C90" s="3">
        <v>540</v>
      </c>
      <c r="D90" s="3">
        <v>592</v>
      </c>
      <c r="E90" s="3">
        <v>-52</v>
      </c>
      <c r="F90" s="3">
        <v>212</v>
      </c>
      <c r="G90" s="3">
        <v>184</v>
      </c>
      <c r="H90" s="3">
        <v>344</v>
      </c>
    </row>
    <row r="91" spans="1:8" x14ac:dyDescent="0.25">
      <c r="B91" s="2" t="s">
        <v>8</v>
      </c>
      <c r="C91" s="3">
        <v>543</v>
      </c>
      <c r="D91" s="3">
        <v>598</v>
      </c>
      <c r="E91" s="3">
        <v>-55</v>
      </c>
      <c r="F91" s="3">
        <v>121</v>
      </c>
      <c r="G91" s="3">
        <v>205</v>
      </c>
      <c r="H91" s="3">
        <v>271</v>
      </c>
    </row>
    <row r="92" spans="1:8" x14ac:dyDescent="0.25">
      <c r="B92" s="2" t="s">
        <v>9</v>
      </c>
      <c r="C92" s="3">
        <v>546</v>
      </c>
      <c r="D92" s="3">
        <v>606</v>
      </c>
      <c r="E92" s="3">
        <v>-60</v>
      </c>
      <c r="F92" s="3">
        <v>137</v>
      </c>
      <c r="G92" s="3">
        <v>224</v>
      </c>
      <c r="H92" s="3">
        <v>301</v>
      </c>
    </row>
    <row r="93" spans="1:8" x14ac:dyDescent="0.25">
      <c r="B93" s="2" t="s">
        <v>10</v>
      </c>
      <c r="C93" s="3">
        <v>549</v>
      </c>
      <c r="D93" s="3">
        <v>613</v>
      </c>
      <c r="E93" s="3">
        <v>-64</v>
      </c>
      <c r="F93" s="3">
        <v>157</v>
      </c>
      <c r="G93" s="3">
        <v>236</v>
      </c>
      <c r="H93" s="3">
        <v>329</v>
      </c>
    </row>
    <row r="94" spans="1:8" x14ac:dyDescent="0.25">
      <c r="B94" s="2" t="s">
        <v>11</v>
      </c>
      <c r="C94" s="3">
        <v>554</v>
      </c>
      <c r="D94" s="3">
        <v>624</v>
      </c>
      <c r="E94" s="3">
        <v>-70</v>
      </c>
      <c r="F94" s="3">
        <v>175</v>
      </c>
      <c r="G94" s="3">
        <v>246</v>
      </c>
      <c r="H94" s="3">
        <v>351</v>
      </c>
    </row>
    <row r="95" spans="1:8" x14ac:dyDescent="0.25">
      <c r="B95" s="2" t="s">
        <v>12</v>
      </c>
      <c r="C95" s="3">
        <v>558</v>
      </c>
      <c r="D95" s="3">
        <v>632</v>
      </c>
      <c r="E95" s="3">
        <v>-74</v>
      </c>
      <c r="F95" s="3">
        <v>175</v>
      </c>
      <c r="G95" s="3">
        <v>244</v>
      </c>
      <c r="H95" s="3">
        <v>345</v>
      </c>
    </row>
    <row r="96" spans="1:8" x14ac:dyDescent="0.25">
      <c r="B96" s="2" t="s">
        <v>13</v>
      </c>
      <c r="C96" s="3">
        <v>564</v>
      </c>
      <c r="D96" s="3">
        <v>644</v>
      </c>
      <c r="E96" s="3">
        <v>-80</v>
      </c>
      <c r="F96" s="3">
        <v>175</v>
      </c>
      <c r="G96" s="3">
        <v>242</v>
      </c>
      <c r="H96" s="3">
        <v>337</v>
      </c>
    </row>
    <row r="97" spans="2:8" x14ac:dyDescent="0.25">
      <c r="B97" s="2" t="s">
        <v>14</v>
      </c>
      <c r="C97" s="3">
        <v>570</v>
      </c>
      <c r="D97" s="3">
        <v>654</v>
      </c>
      <c r="E97" s="3">
        <v>-84</v>
      </c>
      <c r="F97" s="3">
        <v>172</v>
      </c>
      <c r="G97" s="3">
        <v>241</v>
      </c>
      <c r="H97" s="3">
        <v>329</v>
      </c>
    </row>
    <row r="98" spans="2:8" x14ac:dyDescent="0.25">
      <c r="B98" s="2" t="s">
        <v>15</v>
      </c>
      <c r="C98" s="3">
        <v>578</v>
      </c>
      <c r="D98" s="3">
        <v>666</v>
      </c>
      <c r="E98" s="3">
        <v>-88</v>
      </c>
      <c r="F98" s="3">
        <v>171</v>
      </c>
      <c r="G98" s="3">
        <v>241</v>
      </c>
      <c r="H98" s="3">
        <v>324</v>
      </c>
    </row>
    <row r="99" spans="2:8" x14ac:dyDescent="0.25">
      <c r="B99" s="2" t="s">
        <v>16</v>
      </c>
      <c r="C99" s="3">
        <v>585</v>
      </c>
      <c r="D99" s="3">
        <v>677</v>
      </c>
      <c r="E99" s="3">
        <v>-92</v>
      </c>
      <c r="F99" s="3">
        <v>171</v>
      </c>
      <c r="G99" s="3">
        <v>240</v>
      </c>
      <c r="H99" s="3">
        <v>319</v>
      </c>
    </row>
    <row r="100" spans="2:8" x14ac:dyDescent="0.25">
      <c r="B100" s="2" t="s">
        <v>17</v>
      </c>
      <c r="C100" s="3">
        <v>593</v>
      </c>
      <c r="D100" s="3">
        <v>688</v>
      </c>
      <c r="E100" s="3">
        <v>-95</v>
      </c>
      <c r="F100" s="3">
        <v>169</v>
      </c>
      <c r="G100" s="3">
        <v>242</v>
      </c>
      <c r="H100" s="3">
        <v>316</v>
      </c>
    </row>
    <row r="101" spans="2:8" x14ac:dyDescent="0.25">
      <c r="B101" s="2" t="s">
        <v>18</v>
      </c>
      <c r="C101" s="3">
        <v>593</v>
      </c>
      <c r="D101" s="3">
        <v>699</v>
      </c>
      <c r="E101" s="3">
        <v>-106</v>
      </c>
      <c r="F101" s="3">
        <v>168</v>
      </c>
      <c r="G101" s="3">
        <v>243</v>
      </c>
      <c r="H101" s="3">
        <v>305</v>
      </c>
    </row>
    <row r="102" spans="2:8" x14ac:dyDescent="0.25">
      <c r="B102" s="2" t="s">
        <v>19</v>
      </c>
      <c r="C102" s="3">
        <v>594</v>
      </c>
      <c r="D102" s="3">
        <v>710</v>
      </c>
      <c r="E102" s="3">
        <v>-116</v>
      </c>
      <c r="F102" s="3">
        <v>166</v>
      </c>
      <c r="G102" s="3">
        <v>245</v>
      </c>
      <c r="H102" s="3">
        <v>295</v>
      </c>
    </row>
    <row r="103" spans="2:8" x14ac:dyDescent="0.25">
      <c r="B103" s="2" t="s">
        <v>20</v>
      </c>
      <c r="C103" s="3">
        <v>595</v>
      </c>
      <c r="D103" s="3">
        <v>720</v>
      </c>
      <c r="E103" s="3">
        <v>-125</v>
      </c>
      <c r="F103" s="3">
        <v>164</v>
      </c>
      <c r="G103" s="3">
        <v>248</v>
      </c>
      <c r="H103" s="3">
        <v>287</v>
      </c>
    </row>
    <row r="104" spans="2:8" x14ac:dyDescent="0.25">
      <c r="B104" s="2" t="s">
        <v>21</v>
      </c>
      <c r="C104" s="3">
        <v>594</v>
      </c>
      <c r="D104" s="3">
        <v>730</v>
      </c>
      <c r="E104" s="3">
        <v>-136</v>
      </c>
      <c r="F104" s="3">
        <v>163</v>
      </c>
      <c r="G104" s="3">
        <v>252</v>
      </c>
      <c r="H104" s="3">
        <v>279</v>
      </c>
    </row>
    <row r="105" spans="2:8" x14ac:dyDescent="0.25">
      <c r="B105" s="2" t="s">
        <v>22</v>
      </c>
      <c r="C105" s="3">
        <v>593</v>
      </c>
      <c r="D105" s="3">
        <v>738</v>
      </c>
      <c r="E105" s="3">
        <v>-145</v>
      </c>
      <c r="F105" s="3">
        <v>162</v>
      </c>
      <c r="G105" s="3">
        <v>256</v>
      </c>
      <c r="H105" s="3">
        <v>273</v>
      </c>
    </row>
    <row r="106" spans="2:8" x14ac:dyDescent="0.25">
      <c r="B106" s="2" t="s">
        <v>23</v>
      </c>
      <c r="C106" s="3">
        <v>592</v>
      </c>
      <c r="D106" s="3">
        <v>746</v>
      </c>
      <c r="E106" s="3">
        <v>-154</v>
      </c>
      <c r="F106" s="3">
        <v>160</v>
      </c>
      <c r="G106" s="3">
        <v>260</v>
      </c>
      <c r="H106" s="3">
        <v>266</v>
      </c>
    </row>
    <row r="107" spans="2:8" x14ac:dyDescent="0.25">
      <c r="B107" s="2" t="s">
        <v>24</v>
      </c>
      <c r="C107" s="3">
        <v>590</v>
      </c>
      <c r="D107" s="3">
        <v>754</v>
      </c>
      <c r="E107" s="3">
        <v>-164</v>
      </c>
      <c r="F107" s="3">
        <v>158</v>
      </c>
      <c r="G107" s="3">
        <v>263</v>
      </c>
      <c r="H107" s="3">
        <v>257</v>
      </c>
    </row>
    <row r="108" spans="2:8" x14ac:dyDescent="0.25">
      <c r="B108" s="2" t="s">
        <v>25</v>
      </c>
      <c r="C108" s="3">
        <v>586</v>
      </c>
      <c r="D108" s="3">
        <v>761</v>
      </c>
      <c r="E108" s="3">
        <v>-175</v>
      </c>
      <c r="F108" s="3">
        <v>157</v>
      </c>
      <c r="G108" s="3">
        <v>266</v>
      </c>
      <c r="H108" s="3">
        <v>248</v>
      </c>
    </row>
    <row r="109" spans="2:8" x14ac:dyDescent="0.25">
      <c r="B109" s="2" t="s">
        <v>26</v>
      </c>
      <c r="C109" s="3">
        <v>583</v>
      </c>
      <c r="D109" s="3">
        <v>768</v>
      </c>
      <c r="E109" s="3">
        <v>-185</v>
      </c>
      <c r="F109" s="3">
        <v>156</v>
      </c>
      <c r="G109" s="3">
        <v>266</v>
      </c>
      <c r="H109" s="3">
        <v>237</v>
      </c>
    </row>
    <row r="110" spans="2:8" x14ac:dyDescent="0.25">
      <c r="B110" s="2" t="s">
        <v>27</v>
      </c>
      <c r="C110" s="3">
        <v>579</v>
      </c>
      <c r="D110" s="3">
        <v>773</v>
      </c>
      <c r="E110" s="3">
        <v>-194</v>
      </c>
      <c r="F110" s="3">
        <v>154</v>
      </c>
      <c r="G110" s="3">
        <v>266</v>
      </c>
      <c r="H110" s="3">
        <v>226</v>
      </c>
    </row>
    <row r="111" spans="2:8" x14ac:dyDescent="0.25">
      <c r="B111" s="2" t="s">
        <v>28</v>
      </c>
      <c r="C111" s="3">
        <v>575</v>
      </c>
      <c r="D111" s="3">
        <v>780</v>
      </c>
      <c r="E111" s="3">
        <v>-205</v>
      </c>
      <c r="F111" s="3">
        <v>151</v>
      </c>
      <c r="G111" s="3">
        <v>267</v>
      </c>
      <c r="H111" s="3">
        <v>213</v>
      </c>
    </row>
    <row r="112" spans="2:8" x14ac:dyDescent="0.25">
      <c r="B112" s="2" t="s">
        <v>29</v>
      </c>
      <c r="C112" s="3">
        <v>571</v>
      </c>
      <c r="D112" s="3">
        <v>787</v>
      </c>
      <c r="E112" s="3">
        <v>-216</v>
      </c>
      <c r="F112" s="3">
        <v>150</v>
      </c>
      <c r="G112" s="3">
        <v>265</v>
      </c>
      <c r="H112" s="3">
        <v>199</v>
      </c>
    </row>
    <row r="113" spans="1:8" x14ac:dyDescent="0.25">
      <c r="B113" s="2" t="s">
        <v>30</v>
      </c>
      <c r="C113" s="3">
        <v>566</v>
      </c>
      <c r="D113" s="3">
        <v>793</v>
      </c>
      <c r="E113" s="3">
        <v>-227</v>
      </c>
      <c r="F113" s="3">
        <v>147</v>
      </c>
      <c r="G113" s="3">
        <v>265</v>
      </c>
      <c r="H113" s="3">
        <v>185</v>
      </c>
    </row>
    <row r="114" spans="1:8" x14ac:dyDescent="0.25">
      <c r="B114" s="2" t="s">
        <v>31</v>
      </c>
      <c r="C114" s="3">
        <v>562</v>
      </c>
      <c r="D114" s="3">
        <v>800</v>
      </c>
      <c r="E114" s="3">
        <v>-238</v>
      </c>
      <c r="F114" s="3">
        <v>145</v>
      </c>
      <c r="G114" s="3">
        <v>262</v>
      </c>
      <c r="H114" s="3">
        <v>169</v>
      </c>
    </row>
    <row r="115" spans="1:8" x14ac:dyDescent="0.25">
      <c r="B115" s="2" t="s">
        <v>32</v>
      </c>
      <c r="C115" s="3">
        <v>557</v>
      </c>
      <c r="D115" s="3">
        <v>808</v>
      </c>
      <c r="E115" s="3">
        <v>-251</v>
      </c>
      <c r="F115" s="3">
        <v>143</v>
      </c>
      <c r="G115" s="3">
        <v>260</v>
      </c>
      <c r="H115" s="3">
        <v>152</v>
      </c>
    </row>
    <row r="116" spans="1:8" x14ac:dyDescent="0.25">
      <c r="B116" s="2"/>
      <c r="C116" s="3">
        <v>15444</v>
      </c>
      <c r="D116" s="3">
        <v>18947</v>
      </c>
      <c r="E116" s="3">
        <v>-3503</v>
      </c>
      <c r="F116" s="3">
        <v>4477</v>
      </c>
      <c r="G116" s="3">
        <v>6587</v>
      </c>
      <c r="H116" s="3">
        <v>7561</v>
      </c>
    </row>
    <row r="117" spans="1:8" x14ac:dyDescent="0.25">
      <c r="A117" s="2" t="s">
        <v>36</v>
      </c>
      <c r="B117" s="2" t="s">
        <v>6</v>
      </c>
      <c r="C117" s="3">
        <v>370</v>
      </c>
      <c r="D117" s="3">
        <v>457</v>
      </c>
      <c r="E117" s="3">
        <v>-87</v>
      </c>
      <c r="F117" s="3">
        <v>268</v>
      </c>
      <c r="G117" s="3">
        <v>111</v>
      </c>
      <c r="H117" s="3">
        <v>292</v>
      </c>
    </row>
    <row r="118" spans="1:8" x14ac:dyDescent="0.25">
      <c r="B118" s="2" t="s">
        <v>7</v>
      </c>
      <c r="C118" s="3">
        <v>378</v>
      </c>
      <c r="D118" s="3">
        <v>461</v>
      </c>
      <c r="E118" s="3">
        <v>-83</v>
      </c>
      <c r="F118" s="3">
        <v>194</v>
      </c>
      <c r="G118" s="3">
        <v>119</v>
      </c>
      <c r="H118" s="3">
        <v>230</v>
      </c>
    </row>
    <row r="119" spans="1:8" x14ac:dyDescent="0.25">
      <c r="B119" s="2" t="s">
        <v>8</v>
      </c>
      <c r="C119" s="3">
        <v>386</v>
      </c>
      <c r="D119" s="3">
        <v>467</v>
      </c>
      <c r="E119" s="3">
        <v>-81</v>
      </c>
      <c r="F119" s="3">
        <v>122</v>
      </c>
      <c r="G119" s="3">
        <v>128</v>
      </c>
      <c r="H119" s="3">
        <v>169</v>
      </c>
    </row>
    <row r="120" spans="1:8" x14ac:dyDescent="0.25">
      <c r="B120" s="2" t="s">
        <v>9</v>
      </c>
      <c r="C120" s="3">
        <v>391</v>
      </c>
      <c r="D120" s="3">
        <v>473</v>
      </c>
      <c r="E120" s="3">
        <v>-82</v>
      </c>
      <c r="F120" s="3">
        <v>118</v>
      </c>
      <c r="G120" s="3">
        <v>136</v>
      </c>
      <c r="H120" s="3">
        <v>172</v>
      </c>
    </row>
    <row r="121" spans="1:8" x14ac:dyDescent="0.25">
      <c r="B121" s="2" t="s">
        <v>10</v>
      </c>
      <c r="C121" s="3">
        <v>395</v>
      </c>
      <c r="D121" s="3">
        <v>480</v>
      </c>
      <c r="E121" s="3">
        <v>-85</v>
      </c>
      <c r="F121" s="3">
        <v>116</v>
      </c>
      <c r="G121" s="3">
        <v>146</v>
      </c>
      <c r="H121" s="3">
        <v>177</v>
      </c>
    </row>
    <row r="122" spans="1:8" x14ac:dyDescent="0.25">
      <c r="B122" s="2" t="s">
        <v>11</v>
      </c>
      <c r="C122" s="3">
        <v>400</v>
      </c>
      <c r="D122" s="3">
        <v>489</v>
      </c>
      <c r="E122" s="3">
        <v>-89</v>
      </c>
      <c r="F122" s="3">
        <v>113</v>
      </c>
      <c r="G122" s="3">
        <v>156</v>
      </c>
      <c r="H122" s="3">
        <v>180</v>
      </c>
    </row>
    <row r="123" spans="1:8" x14ac:dyDescent="0.25">
      <c r="B123" s="2" t="s">
        <v>12</v>
      </c>
      <c r="C123" s="3">
        <v>402</v>
      </c>
      <c r="D123" s="3">
        <v>497</v>
      </c>
      <c r="E123" s="3">
        <v>-95</v>
      </c>
      <c r="F123" s="3">
        <v>115</v>
      </c>
      <c r="G123" s="3">
        <v>162</v>
      </c>
      <c r="H123" s="3">
        <v>182</v>
      </c>
    </row>
    <row r="124" spans="1:8" x14ac:dyDescent="0.25">
      <c r="B124" s="2" t="s">
        <v>13</v>
      </c>
      <c r="C124" s="3">
        <v>406</v>
      </c>
      <c r="D124" s="3">
        <v>505</v>
      </c>
      <c r="E124" s="3">
        <v>-99</v>
      </c>
      <c r="F124" s="3">
        <v>114</v>
      </c>
      <c r="G124" s="3">
        <v>167</v>
      </c>
      <c r="H124" s="3">
        <v>182</v>
      </c>
    </row>
    <row r="125" spans="1:8" x14ac:dyDescent="0.25">
      <c r="B125" s="2" t="s">
        <v>14</v>
      </c>
      <c r="C125" s="3">
        <v>409</v>
      </c>
      <c r="D125" s="3">
        <v>515</v>
      </c>
      <c r="E125" s="3">
        <v>-106</v>
      </c>
      <c r="F125" s="3">
        <v>113</v>
      </c>
      <c r="G125" s="3">
        <v>173</v>
      </c>
      <c r="H125" s="3">
        <v>180</v>
      </c>
    </row>
    <row r="126" spans="1:8" x14ac:dyDescent="0.25">
      <c r="B126" s="2" t="s">
        <v>15</v>
      </c>
      <c r="C126" s="3">
        <v>412</v>
      </c>
      <c r="D126" s="3">
        <v>523</v>
      </c>
      <c r="E126" s="3">
        <v>-111</v>
      </c>
      <c r="F126" s="3">
        <v>113</v>
      </c>
      <c r="G126" s="3">
        <v>176</v>
      </c>
      <c r="H126" s="3">
        <v>178</v>
      </c>
    </row>
    <row r="127" spans="1:8" x14ac:dyDescent="0.25">
      <c r="B127" s="2" t="s">
        <v>16</v>
      </c>
      <c r="C127" s="3">
        <v>415</v>
      </c>
      <c r="D127" s="3">
        <v>533</v>
      </c>
      <c r="E127" s="3">
        <v>-118</v>
      </c>
      <c r="F127" s="3">
        <v>112</v>
      </c>
      <c r="G127" s="3">
        <v>180</v>
      </c>
      <c r="H127" s="3">
        <v>174</v>
      </c>
    </row>
    <row r="128" spans="1:8" x14ac:dyDescent="0.25">
      <c r="B128" s="2" t="s">
        <v>17</v>
      </c>
      <c r="C128" s="3">
        <v>419</v>
      </c>
      <c r="D128" s="3">
        <v>542</v>
      </c>
      <c r="E128" s="3">
        <v>-123</v>
      </c>
      <c r="F128" s="3">
        <v>112</v>
      </c>
      <c r="G128" s="3">
        <v>181</v>
      </c>
      <c r="H128" s="3">
        <v>170</v>
      </c>
    </row>
    <row r="129" spans="2:8" x14ac:dyDescent="0.25">
      <c r="B129" s="2" t="s">
        <v>18</v>
      </c>
      <c r="C129" s="3">
        <v>417</v>
      </c>
      <c r="D129" s="3">
        <v>552</v>
      </c>
      <c r="E129" s="3">
        <v>-135</v>
      </c>
      <c r="F129" s="3">
        <v>111</v>
      </c>
      <c r="G129" s="3">
        <v>185</v>
      </c>
      <c r="H129" s="3">
        <v>161</v>
      </c>
    </row>
    <row r="130" spans="2:8" x14ac:dyDescent="0.25">
      <c r="B130" s="2" t="s">
        <v>19</v>
      </c>
      <c r="C130" s="3">
        <v>416</v>
      </c>
      <c r="D130" s="3">
        <v>561</v>
      </c>
      <c r="E130" s="3">
        <v>-145</v>
      </c>
      <c r="F130" s="3">
        <v>110</v>
      </c>
      <c r="G130" s="3">
        <v>188</v>
      </c>
      <c r="H130" s="3">
        <v>153</v>
      </c>
    </row>
    <row r="131" spans="2:8" x14ac:dyDescent="0.25">
      <c r="B131" s="2" t="s">
        <v>20</v>
      </c>
      <c r="C131" s="3">
        <v>414</v>
      </c>
      <c r="D131" s="3">
        <v>570</v>
      </c>
      <c r="E131" s="3">
        <v>-156</v>
      </c>
      <c r="F131" s="3">
        <v>108</v>
      </c>
      <c r="G131" s="3">
        <v>192</v>
      </c>
      <c r="H131" s="3">
        <v>144</v>
      </c>
    </row>
    <row r="132" spans="2:8" x14ac:dyDescent="0.25">
      <c r="B132" s="2" t="s">
        <v>21</v>
      </c>
      <c r="C132" s="3">
        <v>412</v>
      </c>
      <c r="D132" s="3">
        <v>577</v>
      </c>
      <c r="E132" s="3">
        <v>-165</v>
      </c>
      <c r="F132" s="3">
        <v>108</v>
      </c>
      <c r="G132" s="3">
        <v>196</v>
      </c>
      <c r="H132" s="3">
        <v>139</v>
      </c>
    </row>
    <row r="133" spans="2:8" x14ac:dyDescent="0.25">
      <c r="B133" s="2" t="s">
        <v>22</v>
      </c>
      <c r="C133" s="3">
        <v>412</v>
      </c>
      <c r="D133" s="3">
        <v>586</v>
      </c>
      <c r="E133" s="3">
        <v>-174</v>
      </c>
      <c r="F133" s="3">
        <v>107</v>
      </c>
      <c r="G133" s="3">
        <v>200</v>
      </c>
      <c r="H133" s="3">
        <v>133</v>
      </c>
    </row>
    <row r="134" spans="2:8" x14ac:dyDescent="0.25">
      <c r="B134" s="2" t="s">
        <v>23</v>
      </c>
      <c r="C134" s="3">
        <v>409</v>
      </c>
      <c r="D134" s="3">
        <v>593</v>
      </c>
      <c r="E134" s="3">
        <v>-184</v>
      </c>
      <c r="F134" s="3">
        <v>106</v>
      </c>
      <c r="G134" s="3">
        <v>206</v>
      </c>
      <c r="H134" s="3">
        <v>128</v>
      </c>
    </row>
    <row r="135" spans="2:8" x14ac:dyDescent="0.25">
      <c r="B135" s="2" t="s">
        <v>24</v>
      </c>
      <c r="C135" s="3">
        <v>407</v>
      </c>
      <c r="D135" s="3">
        <v>599</v>
      </c>
      <c r="E135" s="3">
        <v>-192</v>
      </c>
      <c r="F135" s="3">
        <v>105</v>
      </c>
      <c r="G135" s="3">
        <v>209</v>
      </c>
      <c r="H135" s="3">
        <v>122</v>
      </c>
    </row>
    <row r="136" spans="2:8" x14ac:dyDescent="0.25">
      <c r="B136" s="2" t="s">
        <v>25</v>
      </c>
      <c r="C136" s="3">
        <v>405</v>
      </c>
      <c r="D136" s="3">
        <v>605</v>
      </c>
      <c r="E136" s="3">
        <v>-200</v>
      </c>
      <c r="F136" s="3">
        <v>105</v>
      </c>
      <c r="G136" s="3">
        <v>213</v>
      </c>
      <c r="H136" s="3">
        <v>118</v>
      </c>
    </row>
    <row r="137" spans="2:8" x14ac:dyDescent="0.25">
      <c r="B137" s="2" t="s">
        <v>26</v>
      </c>
      <c r="C137" s="3">
        <v>401</v>
      </c>
      <c r="D137" s="3">
        <v>610</v>
      </c>
      <c r="E137" s="3">
        <v>-209</v>
      </c>
      <c r="F137" s="3">
        <v>104</v>
      </c>
      <c r="G137" s="3">
        <v>216</v>
      </c>
      <c r="H137" s="3">
        <v>111</v>
      </c>
    </row>
    <row r="138" spans="2:8" x14ac:dyDescent="0.25">
      <c r="B138" s="2" t="s">
        <v>27</v>
      </c>
      <c r="C138" s="3">
        <v>399</v>
      </c>
      <c r="D138" s="3">
        <v>614</v>
      </c>
      <c r="E138" s="3">
        <v>-215</v>
      </c>
      <c r="F138" s="3">
        <v>103</v>
      </c>
      <c r="G138" s="3">
        <v>216</v>
      </c>
      <c r="H138" s="3">
        <v>104</v>
      </c>
    </row>
    <row r="139" spans="2:8" x14ac:dyDescent="0.25">
      <c r="B139" s="2" t="s">
        <v>28</v>
      </c>
      <c r="C139" s="3">
        <v>395</v>
      </c>
      <c r="D139" s="3">
        <v>617</v>
      </c>
      <c r="E139" s="3">
        <v>-222</v>
      </c>
      <c r="F139" s="3">
        <v>101</v>
      </c>
      <c r="G139" s="3">
        <v>217</v>
      </c>
      <c r="H139" s="3">
        <v>96</v>
      </c>
    </row>
    <row r="140" spans="2:8" x14ac:dyDescent="0.25">
      <c r="B140" s="2" t="s">
        <v>29</v>
      </c>
      <c r="C140" s="3">
        <v>393</v>
      </c>
      <c r="D140" s="3">
        <v>621</v>
      </c>
      <c r="E140" s="3">
        <v>-228</v>
      </c>
      <c r="F140" s="3">
        <v>101</v>
      </c>
      <c r="G140" s="3">
        <v>216</v>
      </c>
      <c r="H140" s="3">
        <v>89</v>
      </c>
    </row>
    <row r="141" spans="2:8" x14ac:dyDescent="0.25">
      <c r="B141" s="2" t="s">
        <v>30</v>
      </c>
      <c r="C141" s="3">
        <v>389</v>
      </c>
      <c r="D141" s="3">
        <v>624</v>
      </c>
      <c r="E141" s="3">
        <v>-235</v>
      </c>
      <c r="F141" s="3">
        <v>100</v>
      </c>
      <c r="G141" s="3">
        <v>215</v>
      </c>
      <c r="H141" s="3">
        <v>80</v>
      </c>
    </row>
    <row r="142" spans="2:8" x14ac:dyDescent="0.25">
      <c r="B142" s="2" t="s">
        <v>31</v>
      </c>
      <c r="C142" s="3">
        <v>387</v>
      </c>
      <c r="D142" s="3">
        <v>626</v>
      </c>
      <c r="E142" s="3">
        <v>-239</v>
      </c>
      <c r="F142" s="3">
        <v>98</v>
      </c>
      <c r="G142" s="3">
        <v>213</v>
      </c>
      <c r="H142" s="3">
        <v>72</v>
      </c>
    </row>
    <row r="143" spans="2:8" x14ac:dyDescent="0.25">
      <c r="B143" s="2" t="s">
        <v>32</v>
      </c>
      <c r="C143" s="3">
        <v>383</v>
      </c>
      <c r="D143" s="3">
        <v>629</v>
      </c>
      <c r="E143" s="3">
        <v>-246</v>
      </c>
      <c r="F143" s="3">
        <v>98</v>
      </c>
      <c r="G143" s="3">
        <v>211</v>
      </c>
      <c r="H143" s="3">
        <v>63</v>
      </c>
    </row>
    <row r="144" spans="2:8" x14ac:dyDescent="0.25">
      <c r="B144" s="2"/>
      <c r="C144" s="3">
        <v>10822</v>
      </c>
      <c r="D144" s="3">
        <v>14926</v>
      </c>
      <c r="E144" s="3">
        <v>-4104</v>
      </c>
      <c r="F144" s="3">
        <v>3175</v>
      </c>
      <c r="G144" s="3">
        <v>4928</v>
      </c>
      <c r="H144" s="3">
        <v>3999</v>
      </c>
    </row>
    <row r="145" spans="1:8" x14ac:dyDescent="0.25">
      <c r="A145" s="2" t="s">
        <v>37</v>
      </c>
      <c r="B145" s="2" t="s">
        <v>6</v>
      </c>
      <c r="C145" s="3">
        <v>192</v>
      </c>
      <c r="D145" s="3">
        <v>268</v>
      </c>
      <c r="E145" s="3">
        <v>-76</v>
      </c>
      <c r="F145" s="3">
        <v>168</v>
      </c>
      <c r="G145" s="3">
        <v>135</v>
      </c>
      <c r="H145" s="3">
        <v>227</v>
      </c>
    </row>
    <row r="146" spans="1:8" x14ac:dyDescent="0.25">
      <c r="B146" s="2" t="s">
        <v>7</v>
      </c>
      <c r="C146" s="3">
        <v>195</v>
      </c>
      <c r="D146" s="3">
        <v>270</v>
      </c>
      <c r="E146" s="3">
        <v>-75</v>
      </c>
      <c r="F146" s="3">
        <v>116</v>
      </c>
      <c r="G146" s="3">
        <v>138</v>
      </c>
      <c r="H146" s="3">
        <v>179</v>
      </c>
    </row>
    <row r="147" spans="1:8" x14ac:dyDescent="0.25">
      <c r="B147" s="2" t="s">
        <v>8</v>
      </c>
      <c r="C147" s="3">
        <v>198</v>
      </c>
      <c r="D147" s="3">
        <v>273</v>
      </c>
      <c r="E147" s="3">
        <v>-75</v>
      </c>
      <c r="F147" s="3">
        <v>69</v>
      </c>
      <c r="G147" s="3">
        <v>138</v>
      </c>
      <c r="H147" s="3">
        <v>132</v>
      </c>
    </row>
    <row r="148" spans="1:8" x14ac:dyDescent="0.25">
      <c r="B148" s="2" t="s">
        <v>9</v>
      </c>
      <c r="C148" s="3">
        <v>198</v>
      </c>
      <c r="D148" s="3">
        <v>275</v>
      </c>
      <c r="E148" s="3">
        <v>-77</v>
      </c>
      <c r="F148" s="3">
        <v>61</v>
      </c>
      <c r="G148" s="3">
        <v>139</v>
      </c>
      <c r="H148" s="3">
        <v>123</v>
      </c>
    </row>
    <row r="149" spans="1:8" x14ac:dyDescent="0.25">
      <c r="B149" s="2" t="s">
        <v>10</v>
      </c>
      <c r="C149" s="3">
        <v>201</v>
      </c>
      <c r="D149" s="3">
        <v>280</v>
      </c>
      <c r="E149" s="3">
        <v>-79</v>
      </c>
      <c r="F149" s="3">
        <v>56</v>
      </c>
      <c r="G149" s="3">
        <v>139</v>
      </c>
      <c r="H149" s="3">
        <v>116</v>
      </c>
    </row>
    <row r="150" spans="1:8" x14ac:dyDescent="0.25">
      <c r="B150" s="2" t="s">
        <v>11</v>
      </c>
      <c r="C150" s="3">
        <v>203</v>
      </c>
      <c r="D150" s="3">
        <v>283</v>
      </c>
      <c r="E150" s="3">
        <v>-80</v>
      </c>
      <c r="F150" s="3">
        <v>50</v>
      </c>
      <c r="G150" s="3">
        <v>138</v>
      </c>
      <c r="H150" s="3">
        <v>108</v>
      </c>
    </row>
    <row r="151" spans="1:8" x14ac:dyDescent="0.25">
      <c r="B151" s="2" t="s">
        <v>12</v>
      </c>
      <c r="C151" s="3">
        <v>204</v>
      </c>
      <c r="D151" s="3">
        <v>288</v>
      </c>
      <c r="E151" s="3">
        <v>-84</v>
      </c>
      <c r="F151" s="3">
        <v>50</v>
      </c>
      <c r="G151" s="3">
        <v>138</v>
      </c>
      <c r="H151" s="3">
        <v>104</v>
      </c>
    </row>
    <row r="152" spans="1:8" x14ac:dyDescent="0.25">
      <c r="B152" s="2" t="s">
        <v>13</v>
      </c>
      <c r="C152" s="3">
        <v>207</v>
      </c>
      <c r="D152" s="3">
        <v>294</v>
      </c>
      <c r="E152" s="3">
        <v>-87</v>
      </c>
      <c r="F152" s="3">
        <v>50</v>
      </c>
      <c r="G152" s="3">
        <v>139</v>
      </c>
      <c r="H152" s="3">
        <v>102</v>
      </c>
    </row>
    <row r="153" spans="1:8" x14ac:dyDescent="0.25">
      <c r="B153" s="2" t="s">
        <v>14</v>
      </c>
      <c r="C153" s="3">
        <v>209</v>
      </c>
      <c r="D153" s="3">
        <v>299</v>
      </c>
      <c r="E153" s="3">
        <v>-90</v>
      </c>
      <c r="F153" s="3">
        <v>49</v>
      </c>
      <c r="G153" s="3">
        <v>140</v>
      </c>
      <c r="H153" s="3">
        <v>99</v>
      </c>
    </row>
    <row r="154" spans="1:8" x14ac:dyDescent="0.25">
      <c r="B154" s="2" t="s">
        <v>15</v>
      </c>
      <c r="C154" s="3">
        <v>212</v>
      </c>
      <c r="D154" s="3">
        <v>305</v>
      </c>
      <c r="E154" s="3">
        <v>-93</v>
      </c>
      <c r="F154" s="3">
        <v>50</v>
      </c>
      <c r="G154" s="3">
        <v>142</v>
      </c>
      <c r="H154" s="3">
        <v>99</v>
      </c>
    </row>
    <row r="155" spans="1:8" x14ac:dyDescent="0.25">
      <c r="B155" s="2" t="s">
        <v>16</v>
      </c>
      <c r="C155" s="3">
        <v>215</v>
      </c>
      <c r="D155" s="3">
        <v>311</v>
      </c>
      <c r="E155" s="3">
        <v>-96</v>
      </c>
      <c r="F155" s="3">
        <v>49</v>
      </c>
      <c r="G155" s="3">
        <v>144</v>
      </c>
      <c r="H155" s="3">
        <v>97</v>
      </c>
    </row>
    <row r="156" spans="1:8" x14ac:dyDescent="0.25">
      <c r="B156" s="2" t="s">
        <v>17</v>
      </c>
      <c r="C156" s="3">
        <v>218</v>
      </c>
      <c r="D156" s="3">
        <v>316</v>
      </c>
      <c r="E156" s="3">
        <v>-98</v>
      </c>
      <c r="F156" s="3">
        <v>48</v>
      </c>
      <c r="G156" s="3">
        <v>147</v>
      </c>
      <c r="H156" s="3">
        <v>97</v>
      </c>
    </row>
    <row r="157" spans="1:8" x14ac:dyDescent="0.25">
      <c r="B157" s="2" t="s">
        <v>18</v>
      </c>
      <c r="C157" s="3">
        <v>218</v>
      </c>
      <c r="D157" s="3">
        <v>322</v>
      </c>
      <c r="E157" s="3">
        <v>-104</v>
      </c>
      <c r="F157" s="3">
        <v>49</v>
      </c>
      <c r="G157" s="3">
        <v>150</v>
      </c>
      <c r="H157" s="3">
        <v>95</v>
      </c>
    </row>
    <row r="158" spans="1:8" x14ac:dyDescent="0.25">
      <c r="B158" s="2" t="s">
        <v>19</v>
      </c>
      <c r="C158" s="3">
        <v>218</v>
      </c>
      <c r="D158" s="3">
        <v>327</v>
      </c>
      <c r="E158" s="3">
        <v>-109</v>
      </c>
      <c r="F158" s="3">
        <v>47</v>
      </c>
      <c r="G158" s="3">
        <v>153</v>
      </c>
      <c r="H158" s="3">
        <v>91</v>
      </c>
    </row>
    <row r="159" spans="1:8" x14ac:dyDescent="0.25">
      <c r="B159" s="2" t="s">
        <v>20</v>
      </c>
      <c r="C159" s="3">
        <v>218</v>
      </c>
      <c r="D159" s="3">
        <v>332</v>
      </c>
      <c r="E159" s="3">
        <v>-114</v>
      </c>
      <c r="F159" s="3">
        <v>47</v>
      </c>
      <c r="G159" s="3">
        <v>154</v>
      </c>
      <c r="H159" s="3">
        <v>87</v>
      </c>
    </row>
    <row r="160" spans="1:8" x14ac:dyDescent="0.25">
      <c r="B160" s="2" t="s">
        <v>21</v>
      </c>
      <c r="C160" s="3">
        <v>218</v>
      </c>
      <c r="D160" s="3">
        <v>337</v>
      </c>
      <c r="E160" s="3">
        <v>-119</v>
      </c>
      <c r="F160" s="3">
        <v>46</v>
      </c>
      <c r="G160" s="3">
        <v>158</v>
      </c>
      <c r="H160" s="3">
        <v>85</v>
      </c>
    </row>
    <row r="161" spans="1:8" x14ac:dyDescent="0.25">
      <c r="B161" s="2" t="s">
        <v>22</v>
      </c>
      <c r="C161" s="3">
        <v>218</v>
      </c>
      <c r="D161" s="3">
        <v>342</v>
      </c>
      <c r="E161" s="3">
        <v>-124</v>
      </c>
      <c r="F161" s="3">
        <v>47</v>
      </c>
      <c r="G161" s="3">
        <v>160</v>
      </c>
      <c r="H161" s="3">
        <v>83</v>
      </c>
    </row>
    <row r="162" spans="1:8" x14ac:dyDescent="0.25">
      <c r="B162" s="2" t="s">
        <v>23</v>
      </c>
      <c r="C162" s="3">
        <v>218</v>
      </c>
      <c r="D162" s="3">
        <v>345</v>
      </c>
      <c r="E162" s="3">
        <v>-127</v>
      </c>
      <c r="F162" s="3">
        <v>45</v>
      </c>
      <c r="G162" s="3">
        <v>164</v>
      </c>
      <c r="H162" s="3">
        <v>82</v>
      </c>
    </row>
    <row r="163" spans="1:8" x14ac:dyDescent="0.25">
      <c r="B163" s="2" t="s">
        <v>24</v>
      </c>
      <c r="C163" s="3">
        <v>216</v>
      </c>
      <c r="D163" s="3">
        <v>349</v>
      </c>
      <c r="E163" s="3">
        <v>-133</v>
      </c>
      <c r="F163" s="3">
        <v>46</v>
      </c>
      <c r="G163" s="3">
        <v>167</v>
      </c>
      <c r="H163" s="3">
        <v>80</v>
      </c>
    </row>
    <row r="164" spans="1:8" x14ac:dyDescent="0.25">
      <c r="B164" s="2" t="s">
        <v>25</v>
      </c>
      <c r="C164" s="3">
        <v>216</v>
      </c>
      <c r="D164" s="3">
        <v>352</v>
      </c>
      <c r="E164" s="3">
        <v>-136</v>
      </c>
      <c r="F164" s="3">
        <v>44</v>
      </c>
      <c r="G164" s="3">
        <v>169</v>
      </c>
      <c r="H164" s="3">
        <v>77</v>
      </c>
    </row>
    <row r="165" spans="1:8" x14ac:dyDescent="0.25">
      <c r="B165" s="2" t="s">
        <v>26</v>
      </c>
      <c r="C165" s="3">
        <v>214</v>
      </c>
      <c r="D165" s="3">
        <v>356</v>
      </c>
      <c r="E165" s="3">
        <v>-142</v>
      </c>
      <c r="F165" s="3">
        <v>45</v>
      </c>
      <c r="G165" s="3">
        <v>172</v>
      </c>
      <c r="H165" s="3">
        <v>75</v>
      </c>
    </row>
    <row r="166" spans="1:8" x14ac:dyDescent="0.25">
      <c r="B166" s="2" t="s">
        <v>27</v>
      </c>
      <c r="C166" s="3">
        <v>213</v>
      </c>
      <c r="D166" s="3">
        <v>358</v>
      </c>
      <c r="E166" s="3">
        <v>-145</v>
      </c>
      <c r="F166" s="3">
        <v>44</v>
      </c>
      <c r="G166" s="3">
        <v>173</v>
      </c>
      <c r="H166" s="3">
        <v>72</v>
      </c>
    </row>
    <row r="167" spans="1:8" x14ac:dyDescent="0.25">
      <c r="B167" s="2" t="s">
        <v>28</v>
      </c>
      <c r="C167" s="3">
        <v>212</v>
      </c>
      <c r="D167" s="3">
        <v>362</v>
      </c>
      <c r="E167" s="3">
        <v>-150</v>
      </c>
      <c r="F167" s="3">
        <v>43</v>
      </c>
      <c r="G167" s="3">
        <v>174</v>
      </c>
      <c r="H167" s="3">
        <v>67</v>
      </c>
    </row>
    <row r="168" spans="1:8" x14ac:dyDescent="0.25">
      <c r="B168" s="2" t="s">
        <v>29</v>
      </c>
      <c r="C168" s="3">
        <v>210</v>
      </c>
      <c r="D168" s="3">
        <v>364</v>
      </c>
      <c r="E168" s="3">
        <v>-154</v>
      </c>
      <c r="F168" s="3">
        <v>43</v>
      </c>
      <c r="G168" s="3">
        <v>175</v>
      </c>
      <c r="H168" s="3">
        <v>64</v>
      </c>
    </row>
    <row r="169" spans="1:8" x14ac:dyDescent="0.25">
      <c r="B169" s="2" t="s">
        <v>30</v>
      </c>
      <c r="C169" s="3">
        <v>208</v>
      </c>
      <c r="D169" s="3">
        <v>366</v>
      </c>
      <c r="E169" s="3">
        <v>-158</v>
      </c>
      <c r="F169" s="3">
        <v>42</v>
      </c>
      <c r="G169" s="3">
        <v>174</v>
      </c>
      <c r="H169" s="3">
        <v>58</v>
      </c>
    </row>
    <row r="170" spans="1:8" x14ac:dyDescent="0.25">
      <c r="B170" s="2" t="s">
        <v>31</v>
      </c>
      <c r="C170" s="3">
        <v>206</v>
      </c>
      <c r="D170" s="3">
        <v>370</v>
      </c>
      <c r="E170" s="3">
        <v>-164</v>
      </c>
      <c r="F170" s="3">
        <v>42</v>
      </c>
      <c r="G170" s="3">
        <v>174</v>
      </c>
      <c r="H170" s="3">
        <v>52</v>
      </c>
    </row>
    <row r="171" spans="1:8" x14ac:dyDescent="0.25">
      <c r="B171" s="2" t="s">
        <v>32</v>
      </c>
      <c r="C171" s="3">
        <v>205</v>
      </c>
      <c r="D171" s="3">
        <v>371</v>
      </c>
      <c r="E171" s="3">
        <v>-166</v>
      </c>
      <c r="F171" s="3">
        <v>41</v>
      </c>
      <c r="G171" s="3">
        <v>172</v>
      </c>
      <c r="H171" s="3">
        <v>47</v>
      </c>
    </row>
    <row r="172" spans="1:8" x14ac:dyDescent="0.25">
      <c r="C172" s="3">
        <v>5660</v>
      </c>
      <c r="D172" s="3">
        <v>8715</v>
      </c>
      <c r="E172" s="3">
        <v>-3055</v>
      </c>
      <c r="F172" s="3">
        <v>1487</v>
      </c>
      <c r="G172" s="3">
        <v>4166</v>
      </c>
      <c r="H172" s="3">
        <v>2598</v>
      </c>
    </row>
    <row r="173" spans="1:8" x14ac:dyDescent="0.25">
      <c r="A173" t="s">
        <v>38</v>
      </c>
      <c r="E173" s="3">
        <f t="shared" ref="E173:E174" si="13">C173-D173</f>
        <v>0</v>
      </c>
      <c r="H173" s="3">
        <f t="shared" ref="H173:H174" si="14">SUM(E173:G173)</f>
        <v>0</v>
      </c>
    </row>
    <row r="174" spans="1:8" x14ac:dyDescent="0.25">
      <c r="A174" t="s">
        <v>39</v>
      </c>
      <c r="E174" s="3">
        <f t="shared" si="13"/>
        <v>0</v>
      </c>
      <c r="H174" s="3">
        <f t="shared" si="14"/>
        <v>0</v>
      </c>
    </row>
    <row r="177" spans="1:1" x14ac:dyDescent="0.25">
      <c r="A177" t="s">
        <v>40</v>
      </c>
    </row>
    <row r="178" spans="1:1" x14ac:dyDescent="0.25">
      <c r="A178" t="s">
        <v>41</v>
      </c>
    </row>
    <row r="179" spans="1:1" x14ac:dyDescent="0.25">
      <c r="A179" t="s">
        <v>42</v>
      </c>
    </row>
    <row r="180" spans="1:1" x14ac:dyDescent="0.25">
      <c r="A180" t="s">
        <v>43</v>
      </c>
    </row>
    <row r="181" spans="1:1" x14ac:dyDescent="0.25">
      <c r="A181" t="s">
        <v>42</v>
      </c>
    </row>
    <row r="182" spans="1:1" x14ac:dyDescent="0.25">
      <c r="A182" t="s">
        <v>44</v>
      </c>
    </row>
    <row r="183" spans="1:1" x14ac:dyDescent="0.25">
      <c r="A183" t="s">
        <v>42</v>
      </c>
    </row>
    <row r="184" spans="1:1" x14ac:dyDescent="0.25">
      <c r="A184" t="s">
        <v>45</v>
      </c>
    </row>
    <row r="185" spans="1:1" x14ac:dyDescent="0.25">
      <c r="A185" t="s">
        <v>42</v>
      </c>
    </row>
    <row r="187" spans="1:1" x14ac:dyDescent="0.25">
      <c r="A187" t="s">
        <v>46</v>
      </c>
    </row>
    <row r="188" spans="1:1" x14ac:dyDescent="0.25">
      <c r="A188" t="s">
        <v>47</v>
      </c>
    </row>
    <row r="190" spans="1:1" x14ac:dyDescent="0.25">
      <c r="A190" t="s">
        <v>48</v>
      </c>
    </row>
    <row r="191" spans="1:1" x14ac:dyDescent="0.25">
      <c r="A191" t="s">
        <v>41</v>
      </c>
    </row>
    <row r="192" spans="1:1" x14ac:dyDescent="0.25">
      <c r="A192" t="s">
        <v>49</v>
      </c>
    </row>
    <row r="193" spans="1:1" x14ac:dyDescent="0.25">
      <c r="A193" t="s">
        <v>50</v>
      </c>
    </row>
    <row r="194" spans="1:1" x14ac:dyDescent="0.25">
      <c r="A194" t="s">
        <v>51</v>
      </c>
    </row>
    <row r="199" spans="1:1" x14ac:dyDescent="0.25">
      <c r="A199" t="s">
        <v>52</v>
      </c>
    </row>
    <row r="200" spans="1:1" x14ac:dyDescent="0.25">
      <c r="A200" t="s">
        <v>41</v>
      </c>
    </row>
    <row r="201" spans="1:1" x14ac:dyDescent="0.25">
      <c r="A201" t="s">
        <v>53</v>
      </c>
    </row>
    <row r="202" spans="1:1" x14ac:dyDescent="0.25">
      <c r="A202" t="s">
        <v>43</v>
      </c>
    </row>
    <row r="203" spans="1:1" x14ac:dyDescent="0.25">
      <c r="A203" t="s">
        <v>53</v>
      </c>
    </row>
    <row r="204" spans="1:1" x14ac:dyDescent="0.25">
      <c r="A204" t="s">
        <v>44</v>
      </c>
    </row>
    <row r="205" spans="1:1" x14ac:dyDescent="0.25">
      <c r="A205" t="s">
        <v>53</v>
      </c>
    </row>
    <row r="206" spans="1:1" x14ac:dyDescent="0.25">
      <c r="A206" t="s">
        <v>45</v>
      </c>
    </row>
    <row r="207" spans="1:1" x14ac:dyDescent="0.25">
      <c r="A207" t="s">
        <v>53</v>
      </c>
    </row>
    <row r="208" spans="1:1" x14ac:dyDescent="0.25">
      <c r="A208" t="s">
        <v>54</v>
      </c>
    </row>
    <row r="209" spans="1:1" x14ac:dyDescent="0.25">
      <c r="A209" t="s">
        <v>41</v>
      </c>
    </row>
    <row r="210" spans="1:1" x14ac:dyDescent="0.25">
      <c r="A210" t="s">
        <v>55</v>
      </c>
    </row>
    <row r="211" spans="1:1" x14ac:dyDescent="0.25">
      <c r="A211" t="s">
        <v>43</v>
      </c>
    </row>
    <row r="212" spans="1:1" x14ac:dyDescent="0.25">
      <c r="A212" t="s">
        <v>55</v>
      </c>
    </row>
    <row r="213" spans="1:1" x14ac:dyDescent="0.25">
      <c r="A213" t="s">
        <v>44</v>
      </c>
    </row>
    <row r="214" spans="1:1" x14ac:dyDescent="0.25">
      <c r="A214" t="s">
        <v>55</v>
      </c>
    </row>
    <row r="215" spans="1:1" x14ac:dyDescent="0.25">
      <c r="A215" t="s">
        <v>45</v>
      </c>
    </row>
    <row r="216" spans="1:1" x14ac:dyDescent="0.25">
      <c r="A216" t="s">
        <v>55</v>
      </c>
    </row>
    <row r="218" spans="1:1" x14ac:dyDescent="0.25">
      <c r="A218" t="s">
        <v>56</v>
      </c>
    </row>
    <row r="219" spans="1:1" x14ac:dyDescent="0.25">
      <c r="A219" t="s">
        <v>1</v>
      </c>
    </row>
    <row r="220" spans="1:1" x14ac:dyDescent="0.25">
      <c r="A220" t="s">
        <v>57</v>
      </c>
    </row>
    <row r="221" spans="1:1" x14ac:dyDescent="0.25">
      <c r="A221" t="s">
        <v>2</v>
      </c>
    </row>
    <row r="222" spans="1:1" x14ac:dyDescent="0.25">
      <c r="A222" t="s">
        <v>57</v>
      </c>
    </row>
    <row r="223" spans="1:1" x14ac:dyDescent="0.25">
      <c r="A223" t="s">
        <v>3</v>
      </c>
    </row>
    <row r="224" spans="1:1" x14ac:dyDescent="0.25">
      <c r="A224" t="s">
        <v>57</v>
      </c>
    </row>
    <row r="225" spans="1:1" x14ac:dyDescent="0.25">
      <c r="A225" t="s">
        <v>4</v>
      </c>
    </row>
    <row r="226" spans="1:1" x14ac:dyDescent="0.25">
      <c r="A226" t="s">
        <v>57</v>
      </c>
    </row>
    <row r="232" spans="1:1" x14ac:dyDescent="0.25">
      <c r="A232" t="s">
        <v>58</v>
      </c>
    </row>
    <row r="234" spans="1:1" x14ac:dyDescent="0.25">
      <c r="A234" t="s">
        <v>59</v>
      </c>
    </row>
    <row r="235" spans="1:1" x14ac:dyDescent="0.25">
      <c r="A235" t="s">
        <v>60</v>
      </c>
    </row>
    <row r="237" spans="1:1" x14ac:dyDescent="0.25">
      <c r="A237" t="s">
        <v>61</v>
      </c>
    </row>
    <row r="238" spans="1:1" x14ac:dyDescent="0.25">
      <c r="A238" t="s">
        <v>62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F840A-17F9-4FD0-8CBD-3F80D1850A12}">
  <dimension ref="A1:AM170"/>
  <sheetViews>
    <sheetView tabSelected="1" workbookViewId="0">
      <selection activeCell="I8" sqref="I8"/>
    </sheetView>
  </sheetViews>
  <sheetFormatPr baseColWidth="10" defaultRowHeight="15" x14ac:dyDescent="0.25"/>
  <cols>
    <col min="1" max="1" width="31.42578125" customWidth="1"/>
    <col min="3" max="3" width="15.28515625" customWidth="1"/>
    <col min="5" max="5" width="11.5703125" customWidth="1"/>
    <col min="6" max="6" width="13.140625" customWidth="1"/>
    <col min="7" max="7" width="18.7109375" customWidth="1"/>
  </cols>
  <sheetData>
    <row r="1" spans="1:39" ht="47.25" x14ac:dyDescent="0.25">
      <c r="A1" s="9" t="s">
        <v>89</v>
      </c>
    </row>
    <row r="3" spans="1:39" ht="30" x14ac:dyDescent="0.25">
      <c r="C3" s="5" t="s">
        <v>63</v>
      </c>
      <c r="D3" s="5" t="s">
        <v>3</v>
      </c>
      <c r="E3" s="5" t="s">
        <v>71</v>
      </c>
      <c r="F3" s="5" t="s">
        <v>64</v>
      </c>
      <c r="G3" s="6" t="s">
        <v>90</v>
      </c>
      <c r="H3" s="5" t="s">
        <v>63</v>
      </c>
      <c r="I3" s="5" t="s">
        <v>3</v>
      </c>
      <c r="J3" s="5" t="s">
        <v>71</v>
      </c>
      <c r="K3" s="5" t="s">
        <v>64</v>
      </c>
    </row>
    <row r="4" spans="1:39" x14ac:dyDescent="0.25">
      <c r="B4" t="s">
        <v>65</v>
      </c>
      <c r="C4" s="3">
        <f>E40</f>
        <v>-2319</v>
      </c>
      <c r="D4" s="3">
        <f>F40</f>
        <v>2436</v>
      </c>
      <c r="E4" s="3">
        <f>G40</f>
        <v>1762</v>
      </c>
      <c r="F4" s="3">
        <f>H40</f>
        <v>1879</v>
      </c>
      <c r="G4" s="4">
        <v>28173</v>
      </c>
      <c r="H4" s="7">
        <f>C4/$G4*100</f>
        <v>-8.2312852731338513</v>
      </c>
      <c r="I4" s="7">
        <f>D4/$G4*100</f>
        <v>8.6465765094239178</v>
      </c>
      <c r="J4" s="7">
        <f>E4/$G4*100</f>
        <v>6.2542150285734568</v>
      </c>
      <c r="K4" s="7">
        <f>F4/$G4*100</f>
        <v>6.6695062648635215</v>
      </c>
    </row>
    <row r="5" spans="1:39" x14ac:dyDescent="0.25">
      <c r="B5" t="s">
        <v>66</v>
      </c>
      <c r="C5" s="3">
        <f>E66</f>
        <v>-725</v>
      </c>
      <c r="D5" s="3">
        <f t="shared" ref="D5:F5" si="0">F66</f>
        <v>1774</v>
      </c>
      <c r="E5" s="3">
        <f t="shared" si="0"/>
        <v>4866</v>
      </c>
      <c r="F5" s="3">
        <f t="shared" si="0"/>
        <v>5915</v>
      </c>
      <c r="G5" s="4">
        <v>27086</v>
      </c>
      <c r="H5" s="7">
        <f t="shared" ref="H5:H10" si="1">C5/$G5*100</f>
        <v>-2.6766595289079231</v>
      </c>
      <c r="I5" s="7">
        <f t="shared" ref="I5:I10" si="2">D5/$G5*100</f>
        <v>6.549508971424352</v>
      </c>
      <c r="J5" s="7">
        <f t="shared" ref="J5:J10" si="3">E5/$G5*100</f>
        <v>17.965000369194417</v>
      </c>
      <c r="K5" s="7">
        <f t="shared" ref="K5:K10" si="4">F5/$G5*100</f>
        <v>21.837849811710846</v>
      </c>
    </row>
    <row r="6" spans="1:39" x14ac:dyDescent="0.25">
      <c r="B6" t="s">
        <v>67</v>
      </c>
      <c r="C6" s="3">
        <f>E92</f>
        <v>-1112</v>
      </c>
      <c r="D6" s="3">
        <f>F92</f>
        <v>4100</v>
      </c>
      <c r="E6" s="3">
        <f>G92</f>
        <v>5279</v>
      </c>
      <c r="F6" s="3">
        <f>H92</f>
        <v>8267</v>
      </c>
      <c r="G6" s="4">
        <v>60246</v>
      </c>
      <c r="H6" s="7">
        <f t="shared" si="1"/>
        <v>-1.8457656939879825</v>
      </c>
      <c r="I6" s="7">
        <f t="shared" si="2"/>
        <v>6.8054310659628854</v>
      </c>
      <c r="J6" s="7">
        <f t="shared" si="3"/>
        <v>8.7624074627361157</v>
      </c>
      <c r="K6" s="7">
        <f t="shared" si="4"/>
        <v>13.722072834711019</v>
      </c>
    </row>
    <row r="7" spans="1:39" x14ac:dyDescent="0.25">
      <c r="B7" t="s">
        <v>68</v>
      </c>
      <c r="C7" s="3">
        <f>E118</f>
        <v>-3416</v>
      </c>
      <c r="D7" s="3">
        <f>F118</f>
        <v>4971</v>
      </c>
      <c r="E7" s="3">
        <f>G118</f>
        <v>5889</v>
      </c>
      <c r="F7" s="3">
        <f>H118</f>
        <v>7444</v>
      </c>
      <c r="G7" s="4">
        <v>67062</v>
      </c>
      <c r="H7" s="7">
        <f t="shared" si="1"/>
        <v>-5.0937938027496941</v>
      </c>
      <c r="I7" s="7">
        <f t="shared" si="2"/>
        <v>7.4125436163550145</v>
      </c>
      <c r="J7" s="7">
        <f t="shared" si="3"/>
        <v>8.7814261429721743</v>
      </c>
      <c r="K7" s="7">
        <f t="shared" si="4"/>
        <v>11.100175956577496</v>
      </c>
    </row>
    <row r="8" spans="1:39" x14ac:dyDescent="0.25">
      <c r="B8" t="s">
        <v>69</v>
      </c>
      <c r="C8" s="3">
        <f>E144</f>
        <v>-4093</v>
      </c>
      <c r="D8" s="3">
        <f>F144</f>
        <v>2518</v>
      </c>
      <c r="E8" s="3">
        <f>G144</f>
        <v>5188</v>
      </c>
      <c r="F8" s="3">
        <f>H144</f>
        <v>3613</v>
      </c>
      <c r="G8" s="4">
        <v>49022</v>
      </c>
      <c r="H8" s="7">
        <f t="shared" si="1"/>
        <v>-8.3493125535473869</v>
      </c>
      <c r="I8" s="7">
        <f t="shared" si="2"/>
        <v>5.1364693402961938</v>
      </c>
      <c r="J8" s="7">
        <f t="shared" si="3"/>
        <v>10.583003549426788</v>
      </c>
      <c r="K8" s="7">
        <f t="shared" si="4"/>
        <v>7.3701603361755952</v>
      </c>
    </row>
    <row r="9" spans="1:39" x14ac:dyDescent="0.25">
      <c r="B9" t="s">
        <v>70</v>
      </c>
      <c r="C9" s="3">
        <f>E170</f>
        <v>-2996</v>
      </c>
      <c r="D9" s="3">
        <f>F170</f>
        <v>1827</v>
      </c>
      <c r="E9" s="3">
        <f>G170</f>
        <v>3524</v>
      </c>
      <c r="F9" s="3">
        <f>H170</f>
        <v>2355</v>
      </c>
      <c r="G9" s="4">
        <v>27743</v>
      </c>
      <c r="H9" s="7">
        <f t="shared" si="1"/>
        <v>-10.799120498864578</v>
      </c>
      <c r="I9" s="7">
        <f t="shared" si="2"/>
        <v>6.5854449771113437</v>
      </c>
      <c r="J9" s="7">
        <f t="shared" si="3"/>
        <v>12.702303283711206</v>
      </c>
      <c r="K9" s="7">
        <f t="shared" si="4"/>
        <v>8.4886277619579715</v>
      </c>
    </row>
    <row r="10" spans="1:39" x14ac:dyDescent="0.25">
      <c r="B10" t="s">
        <v>73</v>
      </c>
      <c r="C10" s="3">
        <f>SUM(C4:C9)</f>
        <v>-14661</v>
      </c>
      <c r="D10" s="3">
        <f>SUM(D4:D9)</f>
        <v>17626</v>
      </c>
      <c r="E10" s="3">
        <f>SUM(E4:E9)</f>
        <v>26508</v>
      </c>
      <c r="F10" s="3">
        <f>SUM(F4:F9)</f>
        <v>29473</v>
      </c>
      <c r="G10" s="3">
        <f>SUM(G4:G9)</f>
        <v>259332</v>
      </c>
      <c r="H10" s="7">
        <f t="shared" si="1"/>
        <v>-5.6533709684882698</v>
      </c>
      <c r="I10" s="7">
        <f t="shared" si="2"/>
        <v>6.7966930421236098</v>
      </c>
      <c r="J10" s="7">
        <f t="shared" si="3"/>
        <v>10.221646383786034</v>
      </c>
      <c r="K10" s="7">
        <f t="shared" si="4"/>
        <v>11.364968457421375</v>
      </c>
    </row>
    <row r="13" spans="1:39" x14ac:dyDescent="0.25">
      <c r="C13" s="2" t="s">
        <v>5</v>
      </c>
      <c r="T13" s="2" t="s">
        <v>33</v>
      </c>
      <c r="X13" s="2" t="s">
        <v>34</v>
      </c>
      <c r="AB13" s="2" t="s">
        <v>35</v>
      </c>
      <c r="AF13" s="2" t="s">
        <v>36</v>
      </c>
      <c r="AJ13" s="2" t="s">
        <v>37</v>
      </c>
    </row>
    <row r="14" spans="1:39" x14ac:dyDescent="0.25">
      <c r="C14" s="2" t="s">
        <v>1</v>
      </c>
      <c r="D14" s="2" t="s">
        <v>2</v>
      </c>
      <c r="E14" s="2" t="s">
        <v>63</v>
      </c>
      <c r="F14" s="2" t="s">
        <v>3</v>
      </c>
      <c r="G14" s="2" t="s">
        <v>4</v>
      </c>
      <c r="H14" s="2" t="s">
        <v>64</v>
      </c>
      <c r="T14" s="2" t="s">
        <v>1</v>
      </c>
      <c r="U14" s="2" t="s">
        <v>2</v>
      </c>
      <c r="V14" s="2" t="s">
        <v>3</v>
      </c>
      <c r="W14" s="2" t="s">
        <v>4</v>
      </c>
      <c r="X14" s="2" t="s">
        <v>1</v>
      </c>
      <c r="Y14" s="2" t="s">
        <v>2</v>
      </c>
      <c r="Z14" s="2" t="s">
        <v>3</v>
      </c>
      <c r="AA14" s="2" t="s">
        <v>4</v>
      </c>
      <c r="AB14" s="2" t="s">
        <v>1</v>
      </c>
      <c r="AC14" s="2" t="s">
        <v>2</v>
      </c>
      <c r="AD14" s="2" t="s">
        <v>3</v>
      </c>
      <c r="AE14" s="2" t="s">
        <v>4</v>
      </c>
      <c r="AF14" s="2" t="s">
        <v>1</v>
      </c>
      <c r="AG14" s="2" t="s">
        <v>2</v>
      </c>
      <c r="AH14" s="2" t="s">
        <v>3</v>
      </c>
      <c r="AI14" s="2" t="s">
        <v>4</v>
      </c>
      <c r="AJ14" s="2" t="s">
        <v>1</v>
      </c>
      <c r="AK14" s="2" t="s">
        <v>2</v>
      </c>
      <c r="AL14" s="2" t="s">
        <v>3</v>
      </c>
      <c r="AM14" s="2" t="s">
        <v>4</v>
      </c>
    </row>
    <row r="15" spans="1:39" x14ac:dyDescent="0.25">
      <c r="A15" s="2" t="s">
        <v>65</v>
      </c>
      <c r="B15" s="2" t="s">
        <v>8</v>
      </c>
      <c r="C15" s="3">
        <v>217</v>
      </c>
      <c r="D15" s="3">
        <v>278</v>
      </c>
      <c r="E15" s="3">
        <f>C15-D15</f>
        <v>-61</v>
      </c>
      <c r="F15" s="3">
        <v>110</v>
      </c>
      <c r="G15" s="3">
        <v>20</v>
      </c>
      <c r="H15" s="3">
        <f t="shared" ref="H15:H39" si="5">E15+F15+G15</f>
        <v>69</v>
      </c>
      <c r="T15" s="3">
        <v>255</v>
      </c>
      <c r="U15" s="3">
        <v>238</v>
      </c>
      <c r="V15" s="3">
        <v>70</v>
      </c>
      <c r="W15" s="3">
        <v>71</v>
      </c>
      <c r="X15" s="3">
        <v>555</v>
      </c>
      <c r="Y15" s="3">
        <v>519</v>
      </c>
      <c r="Z15" s="3">
        <v>214</v>
      </c>
      <c r="AA15" s="3">
        <v>143</v>
      </c>
      <c r="AB15" s="3">
        <v>556</v>
      </c>
      <c r="AC15" s="3">
        <v>615</v>
      </c>
      <c r="AD15" s="3">
        <v>171</v>
      </c>
      <c r="AE15" s="3">
        <v>174</v>
      </c>
      <c r="AF15" s="3">
        <v>385</v>
      </c>
      <c r="AG15" s="3">
        <v>480</v>
      </c>
      <c r="AH15" s="3">
        <v>60</v>
      </c>
      <c r="AI15" s="3">
        <v>110</v>
      </c>
      <c r="AJ15" s="3">
        <v>197</v>
      </c>
      <c r="AK15" s="3">
        <v>278</v>
      </c>
      <c r="AL15" s="3">
        <v>94</v>
      </c>
      <c r="AM15" s="3">
        <v>106</v>
      </c>
    </row>
    <row r="16" spans="1:39" x14ac:dyDescent="0.25">
      <c r="A16" s="2" t="s">
        <v>65</v>
      </c>
      <c r="B16" s="2" t="s">
        <v>9</v>
      </c>
      <c r="C16" s="3">
        <v>216</v>
      </c>
      <c r="D16" s="3">
        <v>281</v>
      </c>
      <c r="E16" s="3">
        <f t="shared" ref="E16:E81" si="6">C16-D16</f>
        <v>-65</v>
      </c>
      <c r="F16" s="3">
        <v>108</v>
      </c>
      <c r="G16" s="3">
        <v>24</v>
      </c>
      <c r="H16" s="3">
        <f t="shared" si="5"/>
        <v>67</v>
      </c>
      <c r="T16" s="3">
        <v>253</v>
      </c>
      <c r="U16" s="3">
        <v>241</v>
      </c>
      <c r="V16" s="3">
        <v>72</v>
      </c>
      <c r="W16" s="3">
        <v>104</v>
      </c>
      <c r="X16" s="3">
        <v>554</v>
      </c>
      <c r="Y16" s="3">
        <v>524</v>
      </c>
      <c r="Z16" s="3">
        <v>206</v>
      </c>
      <c r="AA16" s="3">
        <v>164</v>
      </c>
      <c r="AB16" s="3">
        <v>556</v>
      </c>
      <c r="AC16" s="3">
        <v>619</v>
      </c>
      <c r="AD16" s="3">
        <v>181</v>
      </c>
      <c r="AE16" s="3">
        <v>191</v>
      </c>
      <c r="AF16" s="3">
        <v>387</v>
      </c>
      <c r="AG16" s="3">
        <v>485</v>
      </c>
      <c r="AH16" s="3">
        <v>72</v>
      </c>
      <c r="AI16" s="3">
        <v>126</v>
      </c>
      <c r="AJ16" s="3">
        <v>199</v>
      </c>
      <c r="AK16" s="3">
        <v>281</v>
      </c>
      <c r="AL16" s="3">
        <v>90</v>
      </c>
      <c r="AM16" s="3">
        <v>106</v>
      </c>
    </row>
    <row r="17" spans="1:39" x14ac:dyDescent="0.25">
      <c r="A17" s="2" t="s">
        <v>65</v>
      </c>
      <c r="B17" s="2" t="s">
        <v>10</v>
      </c>
      <c r="C17" s="3">
        <v>217</v>
      </c>
      <c r="D17" s="3">
        <v>284</v>
      </c>
      <c r="E17" s="3">
        <f t="shared" si="6"/>
        <v>-67</v>
      </c>
      <c r="F17" s="3">
        <v>107</v>
      </c>
      <c r="G17" s="3">
        <v>27</v>
      </c>
      <c r="H17" s="3">
        <f t="shared" si="5"/>
        <v>67</v>
      </c>
      <c r="T17" s="3">
        <v>253</v>
      </c>
      <c r="U17" s="3">
        <v>246</v>
      </c>
      <c r="V17" s="3">
        <v>76</v>
      </c>
      <c r="W17" s="3">
        <v>136</v>
      </c>
      <c r="X17" s="3">
        <v>556</v>
      </c>
      <c r="Y17" s="3">
        <v>528</v>
      </c>
      <c r="Z17" s="3">
        <v>197</v>
      </c>
      <c r="AA17" s="3">
        <v>181</v>
      </c>
      <c r="AB17" s="3">
        <v>558</v>
      </c>
      <c r="AC17" s="3">
        <v>626</v>
      </c>
      <c r="AD17" s="3">
        <v>192</v>
      </c>
      <c r="AE17" s="3">
        <v>206</v>
      </c>
      <c r="AF17" s="3">
        <v>389</v>
      </c>
      <c r="AG17" s="3">
        <v>489</v>
      </c>
      <c r="AH17" s="3">
        <v>83</v>
      </c>
      <c r="AI17" s="3">
        <v>141</v>
      </c>
      <c r="AJ17" s="3">
        <v>199</v>
      </c>
      <c r="AK17" s="3">
        <v>282</v>
      </c>
      <c r="AL17" s="3">
        <v>86</v>
      </c>
      <c r="AM17" s="3">
        <v>109</v>
      </c>
    </row>
    <row r="18" spans="1:39" x14ac:dyDescent="0.25">
      <c r="A18" s="2" t="s">
        <v>65</v>
      </c>
      <c r="B18" s="2" t="s">
        <v>11</v>
      </c>
      <c r="C18" s="3">
        <v>218</v>
      </c>
      <c r="D18" s="3">
        <v>287</v>
      </c>
      <c r="E18" s="3">
        <f t="shared" si="6"/>
        <v>-69</v>
      </c>
      <c r="F18" s="3">
        <v>105</v>
      </c>
      <c r="G18" s="3">
        <v>34</v>
      </c>
      <c r="H18" s="3">
        <f t="shared" si="5"/>
        <v>70</v>
      </c>
      <c r="T18" s="3">
        <v>255</v>
      </c>
      <c r="U18" s="3">
        <v>251</v>
      </c>
      <c r="V18" s="3">
        <v>76</v>
      </c>
      <c r="W18" s="3">
        <v>168</v>
      </c>
      <c r="X18" s="3">
        <v>556</v>
      </c>
      <c r="Y18" s="3">
        <v>536</v>
      </c>
      <c r="Z18" s="3">
        <v>190</v>
      </c>
      <c r="AA18" s="3">
        <v>197</v>
      </c>
      <c r="AB18" s="3">
        <v>560</v>
      </c>
      <c r="AC18" s="3">
        <v>634</v>
      </c>
      <c r="AD18" s="3">
        <v>203</v>
      </c>
      <c r="AE18" s="3">
        <v>218</v>
      </c>
      <c r="AF18" s="3">
        <v>393</v>
      </c>
      <c r="AG18" s="3">
        <v>496</v>
      </c>
      <c r="AH18" s="3">
        <v>94</v>
      </c>
      <c r="AI18" s="3">
        <v>156</v>
      </c>
      <c r="AJ18" s="3">
        <v>201</v>
      </c>
      <c r="AK18" s="3">
        <v>286</v>
      </c>
      <c r="AL18" s="3">
        <v>82</v>
      </c>
      <c r="AM18" s="3">
        <v>112</v>
      </c>
    </row>
    <row r="19" spans="1:39" x14ac:dyDescent="0.25">
      <c r="A19" s="2" t="s">
        <v>65</v>
      </c>
      <c r="B19" s="2" t="s">
        <v>12</v>
      </c>
      <c r="C19" s="3">
        <v>219</v>
      </c>
      <c r="D19" s="3">
        <v>291</v>
      </c>
      <c r="E19" s="3">
        <f t="shared" si="6"/>
        <v>-72</v>
      </c>
      <c r="F19" s="3">
        <v>103</v>
      </c>
      <c r="G19" s="3">
        <v>41</v>
      </c>
      <c r="H19" s="3">
        <f t="shared" si="5"/>
        <v>72</v>
      </c>
      <c r="T19" s="3">
        <v>257</v>
      </c>
      <c r="U19" s="3">
        <v>256</v>
      </c>
      <c r="V19" s="3">
        <v>79</v>
      </c>
      <c r="W19" s="3">
        <v>197</v>
      </c>
      <c r="X19" s="3">
        <v>559</v>
      </c>
      <c r="Y19" s="3">
        <v>543</v>
      </c>
      <c r="Z19" s="3">
        <v>180</v>
      </c>
      <c r="AA19" s="3">
        <v>212</v>
      </c>
      <c r="AB19" s="3">
        <v>562</v>
      </c>
      <c r="AC19" s="3">
        <v>643</v>
      </c>
      <c r="AD19" s="3">
        <v>210</v>
      </c>
      <c r="AE19" s="3">
        <v>228</v>
      </c>
      <c r="AF19" s="3">
        <v>395</v>
      </c>
      <c r="AG19" s="3">
        <v>504</v>
      </c>
      <c r="AH19" s="3">
        <v>104</v>
      </c>
      <c r="AI19" s="3">
        <v>172</v>
      </c>
      <c r="AJ19" s="3">
        <v>202</v>
      </c>
      <c r="AK19" s="3">
        <v>290</v>
      </c>
      <c r="AL19" s="3">
        <v>79</v>
      </c>
      <c r="AM19" s="3">
        <v>116</v>
      </c>
    </row>
    <row r="20" spans="1:39" x14ac:dyDescent="0.25">
      <c r="A20" s="2" t="s">
        <v>65</v>
      </c>
      <c r="B20" s="2" t="s">
        <v>13</v>
      </c>
      <c r="C20" s="3">
        <v>221</v>
      </c>
      <c r="D20" s="3">
        <v>295</v>
      </c>
      <c r="E20" s="3">
        <f t="shared" si="6"/>
        <v>-74</v>
      </c>
      <c r="F20" s="3">
        <v>100</v>
      </c>
      <c r="G20" s="3">
        <v>49</v>
      </c>
      <c r="H20" s="3">
        <f t="shared" si="5"/>
        <v>75</v>
      </c>
      <c r="T20" s="3">
        <v>259</v>
      </c>
      <c r="U20" s="3">
        <v>262</v>
      </c>
      <c r="V20" s="3">
        <v>79</v>
      </c>
      <c r="W20" s="3">
        <v>228</v>
      </c>
      <c r="X20" s="3">
        <v>562</v>
      </c>
      <c r="Y20" s="3">
        <v>551</v>
      </c>
      <c r="Z20" s="3">
        <v>169</v>
      </c>
      <c r="AA20" s="3">
        <v>227</v>
      </c>
      <c r="AB20" s="3">
        <v>567</v>
      </c>
      <c r="AC20" s="3">
        <v>651</v>
      </c>
      <c r="AD20" s="3">
        <v>215</v>
      </c>
      <c r="AE20" s="3">
        <v>235</v>
      </c>
      <c r="AF20" s="3">
        <v>399</v>
      </c>
      <c r="AG20" s="3">
        <v>511</v>
      </c>
      <c r="AH20" s="3">
        <v>112</v>
      </c>
      <c r="AI20" s="3">
        <v>186</v>
      </c>
      <c r="AJ20" s="3">
        <v>205</v>
      </c>
      <c r="AK20" s="3">
        <v>295</v>
      </c>
      <c r="AL20" s="3">
        <v>74</v>
      </c>
      <c r="AM20" s="3">
        <v>120</v>
      </c>
    </row>
    <row r="21" spans="1:39" x14ac:dyDescent="0.25">
      <c r="A21" s="2" t="s">
        <v>65</v>
      </c>
      <c r="B21" s="2" t="s">
        <v>14</v>
      </c>
      <c r="C21" s="3">
        <v>224</v>
      </c>
      <c r="D21" s="3">
        <v>300</v>
      </c>
      <c r="E21" s="3">
        <f t="shared" si="6"/>
        <v>-76</v>
      </c>
      <c r="F21" s="3">
        <v>100</v>
      </c>
      <c r="G21" s="3">
        <v>53</v>
      </c>
      <c r="H21" s="3">
        <f t="shared" si="5"/>
        <v>77</v>
      </c>
      <c r="T21" s="3">
        <v>264</v>
      </c>
      <c r="U21" s="3">
        <v>268</v>
      </c>
      <c r="V21" s="3">
        <v>78</v>
      </c>
      <c r="W21" s="3">
        <v>224</v>
      </c>
      <c r="X21" s="3">
        <v>566</v>
      </c>
      <c r="Y21" s="3">
        <v>559</v>
      </c>
      <c r="Z21" s="3">
        <v>167</v>
      </c>
      <c r="AA21" s="3">
        <v>224</v>
      </c>
      <c r="AB21" s="3">
        <v>572</v>
      </c>
      <c r="AC21" s="3">
        <v>662</v>
      </c>
      <c r="AD21" s="3">
        <v>213</v>
      </c>
      <c r="AE21" s="3">
        <v>233</v>
      </c>
      <c r="AF21" s="3">
        <v>403</v>
      </c>
      <c r="AG21" s="3">
        <v>519</v>
      </c>
      <c r="AH21" s="3">
        <v>111</v>
      </c>
      <c r="AI21" s="3">
        <v>193</v>
      </c>
      <c r="AJ21" s="3">
        <v>205</v>
      </c>
      <c r="AK21" s="3">
        <v>299</v>
      </c>
      <c r="AL21" s="3">
        <v>73</v>
      </c>
      <c r="AM21" s="3">
        <v>125</v>
      </c>
    </row>
    <row r="22" spans="1:39" x14ac:dyDescent="0.25">
      <c r="A22" s="2" t="s">
        <v>65</v>
      </c>
      <c r="B22" s="2" t="s">
        <v>15</v>
      </c>
      <c r="C22" s="3">
        <v>228</v>
      </c>
      <c r="D22" s="3">
        <v>304</v>
      </c>
      <c r="E22" s="3">
        <f t="shared" si="6"/>
        <v>-76</v>
      </c>
      <c r="F22" s="3">
        <v>100</v>
      </c>
      <c r="G22" s="3">
        <v>55</v>
      </c>
      <c r="H22" s="3">
        <f t="shared" si="5"/>
        <v>79</v>
      </c>
      <c r="T22" s="3">
        <v>267</v>
      </c>
      <c r="U22" s="3">
        <v>274</v>
      </c>
      <c r="V22" s="3">
        <v>77</v>
      </c>
      <c r="W22" s="3">
        <v>222</v>
      </c>
      <c r="X22" s="3">
        <v>572</v>
      </c>
      <c r="Y22" s="3">
        <v>570</v>
      </c>
      <c r="Z22" s="3">
        <v>168</v>
      </c>
      <c r="AA22" s="3">
        <v>221</v>
      </c>
      <c r="AB22" s="3">
        <v>578</v>
      </c>
      <c r="AC22" s="3">
        <v>673</v>
      </c>
      <c r="AD22" s="3">
        <v>215</v>
      </c>
      <c r="AE22" s="3">
        <v>232</v>
      </c>
      <c r="AF22" s="3">
        <v>407</v>
      </c>
      <c r="AG22" s="3">
        <v>528</v>
      </c>
      <c r="AH22" s="3">
        <v>112</v>
      </c>
      <c r="AI22" s="3">
        <v>197</v>
      </c>
      <c r="AJ22" s="3">
        <v>209</v>
      </c>
      <c r="AK22" s="3">
        <v>305</v>
      </c>
      <c r="AL22" s="3">
        <v>74</v>
      </c>
      <c r="AM22" s="3">
        <v>128</v>
      </c>
    </row>
    <row r="23" spans="1:39" x14ac:dyDescent="0.25">
      <c r="A23" s="2" t="s">
        <v>65</v>
      </c>
      <c r="B23" s="2" t="s">
        <v>16</v>
      </c>
      <c r="C23" s="3">
        <v>230</v>
      </c>
      <c r="D23" s="3">
        <v>308</v>
      </c>
      <c r="E23" s="3">
        <f t="shared" si="6"/>
        <v>-78</v>
      </c>
      <c r="F23" s="3">
        <v>100</v>
      </c>
      <c r="G23" s="3">
        <v>60</v>
      </c>
      <c r="H23" s="3">
        <f t="shared" si="5"/>
        <v>82</v>
      </c>
      <c r="T23" s="3">
        <v>271</v>
      </c>
      <c r="U23" s="3">
        <v>280</v>
      </c>
      <c r="V23" s="3">
        <v>77</v>
      </c>
      <c r="W23" s="3">
        <v>219</v>
      </c>
      <c r="X23" s="3">
        <v>576</v>
      </c>
      <c r="Y23" s="3">
        <v>579</v>
      </c>
      <c r="Z23" s="3">
        <v>168</v>
      </c>
      <c r="AA23" s="3">
        <v>221</v>
      </c>
      <c r="AB23" s="3">
        <v>584</v>
      </c>
      <c r="AC23" s="3">
        <v>682</v>
      </c>
      <c r="AD23" s="3">
        <v>215</v>
      </c>
      <c r="AE23" s="3">
        <v>230</v>
      </c>
      <c r="AF23" s="3">
        <v>411</v>
      </c>
      <c r="AG23" s="3">
        <v>537</v>
      </c>
      <c r="AH23" s="3">
        <v>112</v>
      </c>
      <c r="AI23" s="3">
        <v>201</v>
      </c>
      <c r="AJ23" s="3">
        <v>210</v>
      </c>
      <c r="AK23" s="3">
        <v>310</v>
      </c>
      <c r="AL23" s="3">
        <v>74</v>
      </c>
      <c r="AM23" s="3">
        <v>133</v>
      </c>
    </row>
    <row r="24" spans="1:39" x14ac:dyDescent="0.25">
      <c r="A24" s="2" t="s">
        <v>65</v>
      </c>
      <c r="B24" s="2" t="s">
        <v>17</v>
      </c>
      <c r="C24" s="3">
        <v>233</v>
      </c>
      <c r="D24" s="3">
        <v>312</v>
      </c>
      <c r="E24" s="3">
        <f t="shared" si="6"/>
        <v>-79</v>
      </c>
      <c r="F24" s="3">
        <v>100</v>
      </c>
      <c r="G24" s="3">
        <v>64</v>
      </c>
      <c r="H24" s="3">
        <f t="shared" si="5"/>
        <v>85</v>
      </c>
      <c r="T24" s="3">
        <v>276</v>
      </c>
      <c r="U24" s="3">
        <v>286</v>
      </c>
      <c r="V24" s="3">
        <v>76</v>
      </c>
      <c r="W24" s="3">
        <v>217</v>
      </c>
      <c r="X24" s="3">
        <v>583</v>
      </c>
      <c r="Y24" s="3">
        <v>589</v>
      </c>
      <c r="Z24" s="3">
        <v>166</v>
      </c>
      <c r="AA24" s="3">
        <v>221</v>
      </c>
      <c r="AB24" s="3">
        <v>592</v>
      </c>
      <c r="AC24" s="3">
        <v>693</v>
      </c>
      <c r="AD24" s="3">
        <v>213</v>
      </c>
      <c r="AE24" s="3">
        <v>230</v>
      </c>
      <c r="AF24" s="3">
        <v>414</v>
      </c>
      <c r="AG24" s="3">
        <v>545</v>
      </c>
      <c r="AH24" s="3">
        <v>111</v>
      </c>
      <c r="AI24" s="3">
        <v>205</v>
      </c>
      <c r="AJ24" s="3">
        <v>212</v>
      </c>
      <c r="AK24" s="3">
        <v>315</v>
      </c>
      <c r="AL24" s="3">
        <v>74</v>
      </c>
      <c r="AM24" s="3">
        <v>137</v>
      </c>
    </row>
    <row r="25" spans="1:39" x14ac:dyDescent="0.25">
      <c r="A25" s="2" t="s">
        <v>65</v>
      </c>
      <c r="B25" s="2" t="s">
        <v>18</v>
      </c>
      <c r="C25" s="3">
        <v>234</v>
      </c>
      <c r="D25" s="3">
        <v>317</v>
      </c>
      <c r="E25" s="3">
        <f t="shared" si="6"/>
        <v>-83</v>
      </c>
      <c r="F25" s="3">
        <v>99</v>
      </c>
      <c r="G25" s="3">
        <v>69</v>
      </c>
      <c r="H25" s="3">
        <f t="shared" si="5"/>
        <v>85</v>
      </c>
      <c r="T25" s="3">
        <v>277</v>
      </c>
      <c r="U25" s="3">
        <v>292</v>
      </c>
      <c r="V25" s="3">
        <v>75</v>
      </c>
      <c r="W25" s="3">
        <v>216</v>
      </c>
      <c r="X25" s="3">
        <v>584</v>
      </c>
      <c r="Y25" s="3">
        <v>599</v>
      </c>
      <c r="Z25" s="3">
        <v>165</v>
      </c>
      <c r="AA25" s="3">
        <v>220</v>
      </c>
      <c r="AB25" s="3">
        <v>593</v>
      </c>
      <c r="AC25" s="3">
        <v>704</v>
      </c>
      <c r="AD25" s="3">
        <v>212</v>
      </c>
      <c r="AE25" s="3">
        <v>230</v>
      </c>
      <c r="AF25" s="3">
        <v>414</v>
      </c>
      <c r="AG25" s="3">
        <v>556</v>
      </c>
      <c r="AH25" s="3">
        <v>111</v>
      </c>
      <c r="AI25" s="3">
        <v>209</v>
      </c>
      <c r="AJ25" s="3">
        <v>213</v>
      </c>
      <c r="AK25" s="3">
        <v>321</v>
      </c>
      <c r="AL25" s="3">
        <v>74</v>
      </c>
      <c r="AM25" s="3">
        <v>141</v>
      </c>
    </row>
    <row r="26" spans="1:39" x14ac:dyDescent="0.25">
      <c r="A26" s="2" t="s">
        <v>65</v>
      </c>
      <c r="B26" s="2" t="s">
        <v>19</v>
      </c>
      <c r="C26" s="3">
        <v>234</v>
      </c>
      <c r="D26" s="3">
        <v>321</v>
      </c>
      <c r="E26" s="3">
        <f t="shared" si="6"/>
        <v>-87</v>
      </c>
      <c r="F26" s="3">
        <v>99</v>
      </c>
      <c r="G26" s="3">
        <v>74</v>
      </c>
      <c r="H26" s="3">
        <f t="shared" si="5"/>
        <v>86</v>
      </c>
      <c r="T26" s="3">
        <v>277</v>
      </c>
      <c r="U26" s="3">
        <v>298</v>
      </c>
      <c r="V26" s="3">
        <v>74</v>
      </c>
      <c r="W26" s="3">
        <v>215</v>
      </c>
      <c r="X26" s="3">
        <v>585</v>
      </c>
      <c r="Y26" s="3">
        <v>609</v>
      </c>
      <c r="Z26" s="3">
        <v>163</v>
      </c>
      <c r="AA26" s="3">
        <v>220</v>
      </c>
      <c r="AB26" s="3">
        <v>594</v>
      </c>
      <c r="AC26" s="3">
        <v>713</v>
      </c>
      <c r="AD26" s="3">
        <v>210</v>
      </c>
      <c r="AE26" s="3">
        <v>232</v>
      </c>
      <c r="AF26" s="3">
        <v>413</v>
      </c>
      <c r="AG26" s="3">
        <v>564</v>
      </c>
      <c r="AH26" s="3">
        <v>110</v>
      </c>
      <c r="AI26" s="3">
        <v>212</v>
      </c>
      <c r="AJ26" s="3">
        <v>213</v>
      </c>
      <c r="AK26" s="3">
        <v>325</v>
      </c>
      <c r="AL26" s="3">
        <v>72</v>
      </c>
      <c r="AM26" s="3">
        <v>144</v>
      </c>
    </row>
    <row r="27" spans="1:39" x14ac:dyDescent="0.25">
      <c r="A27" s="2" t="s">
        <v>65</v>
      </c>
      <c r="B27" s="2" t="s">
        <v>20</v>
      </c>
      <c r="C27" s="3">
        <v>235</v>
      </c>
      <c r="D27" s="3">
        <v>324</v>
      </c>
      <c r="E27" s="3">
        <f t="shared" si="6"/>
        <v>-89</v>
      </c>
      <c r="F27" s="3">
        <v>97</v>
      </c>
      <c r="G27" s="3">
        <v>78</v>
      </c>
      <c r="H27" s="3">
        <f t="shared" si="5"/>
        <v>86</v>
      </c>
      <c r="T27" s="3">
        <v>278</v>
      </c>
      <c r="U27" s="3">
        <v>303</v>
      </c>
      <c r="V27" s="3">
        <v>73</v>
      </c>
      <c r="W27" s="3">
        <v>214</v>
      </c>
      <c r="X27" s="3">
        <v>586</v>
      </c>
      <c r="Y27" s="3">
        <v>619</v>
      </c>
      <c r="Z27" s="3">
        <v>161</v>
      </c>
      <c r="AA27" s="3">
        <v>220</v>
      </c>
      <c r="AB27" s="3">
        <v>595</v>
      </c>
      <c r="AC27" s="3">
        <v>724</v>
      </c>
      <c r="AD27" s="3">
        <v>208</v>
      </c>
      <c r="AE27" s="3">
        <v>235</v>
      </c>
      <c r="AF27" s="3">
        <v>412</v>
      </c>
      <c r="AG27" s="3">
        <v>572</v>
      </c>
      <c r="AH27" s="3">
        <v>108</v>
      </c>
      <c r="AI27" s="3">
        <v>217</v>
      </c>
      <c r="AJ27" s="3">
        <v>213</v>
      </c>
      <c r="AK27" s="3">
        <v>331</v>
      </c>
      <c r="AL27" s="3">
        <v>72</v>
      </c>
      <c r="AM27" s="3">
        <v>147</v>
      </c>
    </row>
    <row r="28" spans="1:39" x14ac:dyDescent="0.25">
      <c r="A28" s="2" t="s">
        <v>65</v>
      </c>
      <c r="B28" s="2" t="s">
        <v>21</v>
      </c>
      <c r="C28" s="3">
        <v>234</v>
      </c>
      <c r="D28" s="3">
        <v>328</v>
      </c>
      <c r="E28" s="3">
        <f t="shared" si="6"/>
        <v>-94</v>
      </c>
      <c r="F28" s="3">
        <v>98</v>
      </c>
      <c r="G28" s="3">
        <v>81</v>
      </c>
      <c r="H28" s="3">
        <f t="shared" si="5"/>
        <v>85</v>
      </c>
      <c r="T28" s="3">
        <v>278</v>
      </c>
      <c r="U28" s="3">
        <v>308</v>
      </c>
      <c r="V28" s="3">
        <v>72</v>
      </c>
      <c r="W28" s="3">
        <v>213</v>
      </c>
      <c r="X28" s="3">
        <v>585</v>
      </c>
      <c r="Y28" s="3">
        <v>628</v>
      </c>
      <c r="Z28" s="3">
        <v>160</v>
      </c>
      <c r="AA28" s="3">
        <v>219</v>
      </c>
      <c r="AB28" s="3">
        <v>596</v>
      </c>
      <c r="AC28" s="3">
        <v>731</v>
      </c>
      <c r="AD28" s="3">
        <v>206</v>
      </c>
      <c r="AE28" s="3">
        <v>238</v>
      </c>
      <c r="AF28" s="3">
        <v>412</v>
      </c>
      <c r="AG28" s="3">
        <v>581</v>
      </c>
      <c r="AH28" s="3">
        <v>108</v>
      </c>
      <c r="AI28" s="3">
        <v>220</v>
      </c>
      <c r="AJ28" s="3">
        <v>213</v>
      </c>
      <c r="AK28" s="3">
        <v>336</v>
      </c>
      <c r="AL28" s="3">
        <v>72</v>
      </c>
      <c r="AM28" s="3">
        <v>150</v>
      </c>
    </row>
    <row r="29" spans="1:39" x14ac:dyDescent="0.25">
      <c r="A29" s="2" t="s">
        <v>65</v>
      </c>
      <c r="B29" s="2" t="s">
        <v>22</v>
      </c>
      <c r="C29" s="3">
        <v>233</v>
      </c>
      <c r="D29" s="3">
        <v>330</v>
      </c>
      <c r="E29" s="3">
        <f t="shared" si="6"/>
        <v>-97</v>
      </c>
      <c r="F29" s="3">
        <v>96</v>
      </c>
      <c r="G29" s="3">
        <v>85</v>
      </c>
      <c r="H29" s="3">
        <f t="shared" si="5"/>
        <v>84</v>
      </c>
      <c r="T29" s="3">
        <v>279</v>
      </c>
      <c r="U29" s="3">
        <v>313</v>
      </c>
      <c r="V29" s="3">
        <v>70</v>
      </c>
      <c r="W29" s="3">
        <v>212</v>
      </c>
      <c r="X29" s="3">
        <v>586</v>
      </c>
      <c r="Y29" s="3">
        <v>637</v>
      </c>
      <c r="Z29" s="3">
        <v>157</v>
      </c>
      <c r="AA29" s="3">
        <v>218</v>
      </c>
      <c r="AB29" s="3">
        <v>594</v>
      </c>
      <c r="AC29" s="3">
        <v>740</v>
      </c>
      <c r="AD29" s="3">
        <v>204</v>
      </c>
      <c r="AE29" s="3">
        <v>244</v>
      </c>
      <c r="AF29" s="3">
        <v>410</v>
      </c>
      <c r="AG29" s="3">
        <v>589</v>
      </c>
      <c r="AH29" s="3">
        <v>107</v>
      </c>
      <c r="AI29" s="3">
        <v>227</v>
      </c>
      <c r="AJ29" s="3">
        <v>213</v>
      </c>
      <c r="AK29" s="3">
        <v>339</v>
      </c>
      <c r="AL29" s="3">
        <v>70</v>
      </c>
      <c r="AM29" s="3">
        <v>152</v>
      </c>
    </row>
    <row r="30" spans="1:39" x14ac:dyDescent="0.25">
      <c r="A30" s="2" t="s">
        <v>65</v>
      </c>
      <c r="B30" s="2" t="s">
        <v>23</v>
      </c>
      <c r="C30" s="3">
        <v>233</v>
      </c>
      <c r="D30" s="3">
        <v>333</v>
      </c>
      <c r="E30" s="3">
        <f t="shared" si="6"/>
        <v>-100</v>
      </c>
      <c r="F30" s="3">
        <v>96</v>
      </c>
      <c r="G30" s="3">
        <v>87</v>
      </c>
      <c r="H30" s="3">
        <f t="shared" si="5"/>
        <v>83</v>
      </c>
      <c r="T30" s="3">
        <v>278</v>
      </c>
      <c r="U30" s="3">
        <v>317</v>
      </c>
      <c r="V30" s="3">
        <v>70</v>
      </c>
      <c r="W30" s="3">
        <v>210</v>
      </c>
      <c r="X30" s="3">
        <v>584</v>
      </c>
      <c r="Y30" s="3">
        <v>645</v>
      </c>
      <c r="Z30" s="3">
        <v>155</v>
      </c>
      <c r="AA30" s="3">
        <v>220</v>
      </c>
      <c r="AB30" s="3">
        <v>593</v>
      </c>
      <c r="AC30" s="3">
        <v>746</v>
      </c>
      <c r="AD30" s="3">
        <v>201</v>
      </c>
      <c r="AE30" s="3">
        <v>247</v>
      </c>
      <c r="AF30" s="3">
        <v>409</v>
      </c>
      <c r="AG30" s="3">
        <v>595</v>
      </c>
      <c r="AH30" s="3">
        <v>105</v>
      </c>
      <c r="AI30" s="3">
        <v>231</v>
      </c>
      <c r="AJ30" s="3">
        <v>213</v>
      </c>
      <c r="AK30" s="3">
        <v>344</v>
      </c>
      <c r="AL30" s="3">
        <v>70</v>
      </c>
      <c r="AM30" s="3">
        <v>154</v>
      </c>
    </row>
    <row r="31" spans="1:39" x14ac:dyDescent="0.25">
      <c r="A31" s="2" t="s">
        <v>65</v>
      </c>
      <c r="B31" s="2" t="s">
        <v>24</v>
      </c>
      <c r="C31" s="3">
        <v>232</v>
      </c>
      <c r="D31" s="3">
        <v>335</v>
      </c>
      <c r="E31" s="3">
        <f t="shared" si="6"/>
        <v>-103</v>
      </c>
      <c r="F31" s="3">
        <v>94</v>
      </c>
      <c r="G31" s="3">
        <v>90</v>
      </c>
      <c r="H31" s="3">
        <f t="shared" si="5"/>
        <v>81</v>
      </c>
      <c r="T31" s="3">
        <v>278</v>
      </c>
      <c r="U31" s="3">
        <v>322</v>
      </c>
      <c r="V31" s="3">
        <v>69</v>
      </c>
      <c r="W31" s="3">
        <v>209</v>
      </c>
      <c r="X31" s="3">
        <v>583</v>
      </c>
      <c r="Y31" s="3">
        <v>654</v>
      </c>
      <c r="Z31" s="3">
        <v>154</v>
      </c>
      <c r="AA31" s="3">
        <v>219</v>
      </c>
      <c r="AB31" s="3">
        <v>591</v>
      </c>
      <c r="AC31" s="3">
        <v>754</v>
      </c>
      <c r="AD31" s="3">
        <v>200</v>
      </c>
      <c r="AE31" s="3">
        <v>252</v>
      </c>
      <c r="AF31" s="3">
        <v>406</v>
      </c>
      <c r="AG31" s="3">
        <v>601</v>
      </c>
      <c r="AH31" s="3">
        <v>105</v>
      </c>
      <c r="AI31" s="3">
        <v>236</v>
      </c>
      <c r="AJ31" s="3">
        <v>211</v>
      </c>
      <c r="AK31" s="3">
        <v>347</v>
      </c>
      <c r="AL31" s="3">
        <v>70</v>
      </c>
      <c r="AM31" s="3">
        <v>156</v>
      </c>
    </row>
    <row r="32" spans="1:39" x14ac:dyDescent="0.25">
      <c r="A32" s="2" t="s">
        <v>65</v>
      </c>
      <c r="B32" s="2" t="s">
        <v>25</v>
      </c>
      <c r="C32" s="3">
        <v>230</v>
      </c>
      <c r="D32" s="3">
        <v>337</v>
      </c>
      <c r="E32" s="3">
        <f t="shared" si="6"/>
        <v>-107</v>
      </c>
      <c r="F32" s="3">
        <v>94</v>
      </c>
      <c r="G32" s="3">
        <v>92</v>
      </c>
      <c r="H32" s="3">
        <f t="shared" si="5"/>
        <v>79</v>
      </c>
      <c r="T32" s="3">
        <v>276</v>
      </c>
      <c r="U32" s="3">
        <v>325</v>
      </c>
      <c r="V32" s="3">
        <v>67</v>
      </c>
      <c r="W32" s="3">
        <v>207</v>
      </c>
      <c r="X32" s="3">
        <v>580</v>
      </c>
      <c r="Y32" s="3">
        <v>661</v>
      </c>
      <c r="Z32" s="3">
        <v>152</v>
      </c>
      <c r="AA32" s="3">
        <v>219</v>
      </c>
      <c r="AB32" s="3">
        <v>588</v>
      </c>
      <c r="AC32" s="3">
        <v>759</v>
      </c>
      <c r="AD32" s="3">
        <v>196</v>
      </c>
      <c r="AE32" s="3">
        <v>254</v>
      </c>
      <c r="AF32" s="3">
        <v>404</v>
      </c>
      <c r="AG32" s="3">
        <v>606</v>
      </c>
      <c r="AH32" s="3">
        <v>103</v>
      </c>
      <c r="AI32" s="3">
        <v>240</v>
      </c>
      <c r="AJ32" s="3">
        <v>211</v>
      </c>
      <c r="AK32" s="3">
        <v>351</v>
      </c>
      <c r="AL32" s="3">
        <v>68</v>
      </c>
      <c r="AM32" s="3">
        <v>159</v>
      </c>
    </row>
    <row r="33" spans="1:39" x14ac:dyDescent="0.25">
      <c r="A33" s="2" t="s">
        <v>65</v>
      </c>
      <c r="B33" s="2" t="s">
        <v>26</v>
      </c>
      <c r="C33" s="3">
        <v>229</v>
      </c>
      <c r="D33" s="3">
        <v>338</v>
      </c>
      <c r="E33" s="3">
        <f t="shared" si="6"/>
        <v>-109</v>
      </c>
      <c r="F33" s="3">
        <v>93</v>
      </c>
      <c r="G33" s="3">
        <v>93</v>
      </c>
      <c r="H33" s="3">
        <f t="shared" si="5"/>
        <v>77</v>
      </c>
      <c r="T33" s="3">
        <v>275</v>
      </c>
      <c r="U33" s="3">
        <v>328</v>
      </c>
      <c r="V33" s="3">
        <v>66</v>
      </c>
      <c r="W33" s="3">
        <v>206</v>
      </c>
      <c r="X33" s="3">
        <v>577</v>
      </c>
      <c r="Y33" s="3">
        <v>668</v>
      </c>
      <c r="Z33" s="3">
        <v>149</v>
      </c>
      <c r="AA33" s="3">
        <v>217</v>
      </c>
      <c r="AB33" s="3">
        <v>584</v>
      </c>
      <c r="AC33" s="3">
        <v>765</v>
      </c>
      <c r="AD33" s="3">
        <v>195</v>
      </c>
      <c r="AE33" s="3">
        <v>255</v>
      </c>
      <c r="AF33" s="3">
        <v>401</v>
      </c>
      <c r="AG33" s="3">
        <v>611</v>
      </c>
      <c r="AH33" s="3">
        <v>102</v>
      </c>
      <c r="AI33" s="3">
        <v>243</v>
      </c>
      <c r="AJ33" s="3">
        <v>209</v>
      </c>
      <c r="AK33" s="3">
        <v>354</v>
      </c>
      <c r="AL33" s="3">
        <v>68</v>
      </c>
      <c r="AM33" s="3">
        <v>159</v>
      </c>
    </row>
    <row r="34" spans="1:39" x14ac:dyDescent="0.25">
      <c r="A34" s="2" t="s">
        <v>65</v>
      </c>
      <c r="B34" s="2" t="s">
        <v>27</v>
      </c>
      <c r="C34" s="3">
        <v>227</v>
      </c>
      <c r="D34" s="3">
        <v>340</v>
      </c>
      <c r="E34" s="3">
        <f t="shared" si="6"/>
        <v>-113</v>
      </c>
      <c r="F34" s="3">
        <v>92</v>
      </c>
      <c r="G34" s="3">
        <v>95</v>
      </c>
      <c r="H34" s="3">
        <f t="shared" si="5"/>
        <v>74</v>
      </c>
      <c r="T34" s="3">
        <v>273</v>
      </c>
      <c r="U34" s="3">
        <v>332</v>
      </c>
      <c r="V34" s="3">
        <v>66</v>
      </c>
      <c r="W34" s="3">
        <v>203</v>
      </c>
      <c r="X34" s="3">
        <v>573</v>
      </c>
      <c r="Y34" s="3">
        <v>676</v>
      </c>
      <c r="Z34" s="3">
        <v>148</v>
      </c>
      <c r="AA34" s="3">
        <v>217</v>
      </c>
      <c r="AB34" s="3">
        <v>581</v>
      </c>
      <c r="AC34" s="3">
        <v>771</v>
      </c>
      <c r="AD34" s="3">
        <v>192</v>
      </c>
      <c r="AE34" s="3">
        <v>256</v>
      </c>
      <c r="AF34" s="3">
        <v>398</v>
      </c>
      <c r="AG34" s="3">
        <v>614</v>
      </c>
      <c r="AH34" s="3">
        <v>101</v>
      </c>
      <c r="AI34" s="3">
        <v>245</v>
      </c>
      <c r="AJ34" s="3">
        <v>209</v>
      </c>
      <c r="AK34" s="3">
        <v>357</v>
      </c>
      <c r="AL34" s="3">
        <v>67</v>
      </c>
      <c r="AM34" s="3">
        <v>160</v>
      </c>
    </row>
    <row r="35" spans="1:39" x14ac:dyDescent="0.25">
      <c r="A35" s="2" t="s">
        <v>65</v>
      </c>
      <c r="B35" s="2" t="s">
        <v>28</v>
      </c>
      <c r="C35" s="3">
        <v>225</v>
      </c>
      <c r="D35" s="3">
        <v>343</v>
      </c>
      <c r="E35" s="3">
        <f t="shared" si="6"/>
        <v>-118</v>
      </c>
      <c r="F35" s="3">
        <v>91</v>
      </c>
      <c r="G35" s="3">
        <v>97</v>
      </c>
      <c r="H35" s="3">
        <f t="shared" si="5"/>
        <v>70</v>
      </c>
      <c r="T35" s="3">
        <v>272</v>
      </c>
      <c r="U35" s="3">
        <v>335</v>
      </c>
      <c r="V35" s="3">
        <v>64</v>
      </c>
      <c r="W35" s="3">
        <v>200</v>
      </c>
      <c r="X35" s="3">
        <v>570</v>
      </c>
      <c r="Y35" s="3">
        <v>683</v>
      </c>
      <c r="Z35" s="3">
        <v>146</v>
      </c>
      <c r="AA35" s="3">
        <v>216</v>
      </c>
      <c r="AB35" s="3">
        <v>576</v>
      </c>
      <c r="AC35" s="3">
        <v>777</v>
      </c>
      <c r="AD35" s="3">
        <v>189</v>
      </c>
      <c r="AE35" s="3">
        <v>256</v>
      </c>
      <c r="AF35" s="3">
        <v>396</v>
      </c>
      <c r="AG35" s="3">
        <v>618</v>
      </c>
      <c r="AH35" s="3">
        <v>99</v>
      </c>
      <c r="AI35" s="3">
        <v>246</v>
      </c>
      <c r="AJ35" s="3">
        <v>206</v>
      </c>
      <c r="AK35" s="3">
        <v>359</v>
      </c>
      <c r="AL35" s="3">
        <v>66</v>
      </c>
      <c r="AM35" s="3">
        <v>162</v>
      </c>
    </row>
    <row r="36" spans="1:39" x14ac:dyDescent="0.25">
      <c r="A36" s="2" t="s">
        <v>65</v>
      </c>
      <c r="B36" s="2" t="s">
        <v>29</v>
      </c>
      <c r="C36" s="3">
        <v>224</v>
      </c>
      <c r="D36" s="3">
        <v>343</v>
      </c>
      <c r="E36" s="3">
        <f t="shared" si="6"/>
        <v>-119</v>
      </c>
      <c r="F36" s="3">
        <v>90</v>
      </c>
      <c r="G36" s="3">
        <v>97</v>
      </c>
      <c r="H36" s="3">
        <f t="shared" si="5"/>
        <v>68</v>
      </c>
      <c r="T36" s="3">
        <v>270</v>
      </c>
      <c r="U36" s="3">
        <v>338</v>
      </c>
      <c r="V36" s="3">
        <v>63</v>
      </c>
      <c r="W36" s="3">
        <v>199</v>
      </c>
      <c r="X36" s="3">
        <v>565</v>
      </c>
      <c r="Y36" s="3">
        <v>690</v>
      </c>
      <c r="Z36" s="3">
        <v>144</v>
      </c>
      <c r="AA36" s="3">
        <v>216</v>
      </c>
      <c r="AB36" s="3">
        <v>572</v>
      </c>
      <c r="AC36" s="3">
        <v>782</v>
      </c>
      <c r="AD36" s="3">
        <v>186</v>
      </c>
      <c r="AE36" s="3">
        <v>256</v>
      </c>
      <c r="AF36" s="3">
        <v>391</v>
      </c>
      <c r="AG36" s="3">
        <v>621</v>
      </c>
      <c r="AH36" s="3">
        <v>99</v>
      </c>
      <c r="AI36" s="3">
        <v>246</v>
      </c>
      <c r="AJ36" s="3">
        <v>205</v>
      </c>
      <c r="AK36" s="3">
        <v>363</v>
      </c>
      <c r="AL36" s="3">
        <v>66</v>
      </c>
      <c r="AM36" s="3">
        <v>162</v>
      </c>
    </row>
    <row r="37" spans="1:39" x14ac:dyDescent="0.25">
      <c r="A37" s="2" t="s">
        <v>65</v>
      </c>
      <c r="B37" s="2" t="s">
        <v>30</v>
      </c>
      <c r="C37" s="3">
        <v>222</v>
      </c>
      <c r="D37" s="3">
        <v>346</v>
      </c>
      <c r="E37" s="3">
        <f t="shared" si="6"/>
        <v>-124</v>
      </c>
      <c r="F37" s="3">
        <v>89</v>
      </c>
      <c r="G37" s="3">
        <v>98</v>
      </c>
      <c r="H37" s="3">
        <f t="shared" si="5"/>
        <v>63</v>
      </c>
      <c r="T37" s="3">
        <v>268</v>
      </c>
      <c r="U37" s="3">
        <v>342</v>
      </c>
      <c r="V37" s="3">
        <v>63</v>
      </c>
      <c r="W37" s="3">
        <v>195</v>
      </c>
      <c r="X37" s="3">
        <v>561</v>
      </c>
      <c r="Y37" s="3">
        <v>697</v>
      </c>
      <c r="Z37" s="3">
        <v>142</v>
      </c>
      <c r="AA37" s="3">
        <v>216</v>
      </c>
      <c r="AB37" s="3">
        <v>568</v>
      </c>
      <c r="AC37" s="3">
        <v>788</v>
      </c>
      <c r="AD37" s="3">
        <v>183</v>
      </c>
      <c r="AE37" s="3">
        <v>254</v>
      </c>
      <c r="AF37" s="3">
        <v>389</v>
      </c>
      <c r="AG37" s="3">
        <v>624</v>
      </c>
      <c r="AH37" s="3">
        <v>97</v>
      </c>
      <c r="AI37" s="3">
        <v>245</v>
      </c>
      <c r="AJ37" s="3">
        <v>204</v>
      </c>
      <c r="AK37" s="3">
        <v>365</v>
      </c>
      <c r="AL37" s="3">
        <v>64</v>
      </c>
      <c r="AM37" s="3">
        <v>163</v>
      </c>
    </row>
    <row r="38" spans="1:39" x14ac:dyDescent="0.25">
      <c r="A38" s="2" t="s">
        <v>65</v>
      </c>
      <c r="B38" s="2" t="s">
        <v>31</v>
      </c>
      <c r="C38" s="3">
        <v>221</v>
      </c>
      <c r="D38" s="3">
        <v>348</v>
      </c>
      <c r="E38" s="3">
        <f t="shared" si="6"/>
        <v>-127</v>
      </c>
      <c r="F38" s="3">
        <v>88</v>
      </c>
      <c r="G38" s="3">
        <v>99</v>
      </c>
      <c r="H38" s="3">
        <f t="shared" si="5"/>
        <v>60</v>
      </c>
      <c r="T38" s="3">
        <v>266</v>
      </c>
      <c r="U38" s="3">
        <v>343</v>
      </c>
      <c r="V38" s="3">
        <v>61</v>
      </c>
      <c r="W38" s="3">
        <v>192</v>
      </c>
      <c r="X38" s="3">
        <v>558</v>
      </c>
      <c r="Y38" s="3">
        <v>705</v>
      </c>
      <c r="Z38" s="3">
        <v>140</v>
      </c>
      <c r="AA38" s="3">
        <v>216</v>
      </c>
      <c r="AB38" s="3">
        <v>562</v>
      </c>
      <c r="AC38" s="3">
        <v>794</v>
      </c>
      <c r="AD38" s="3">
        <v>182</v>
      </c>
      <c r="AE38" s="3">
        <v>253</v>
      </c>
      <c r="AF38" s="3">
        <v>386</v>
      </c>
      <c r="AG38" s="3">
        <v>626</v>
      </c>
      <c r="AH38" s="3">
        <v>97</v>
      </c>
      <c r="AI38" s="3">
        <v>243</v>
      </c>
      <c r="AJ38" s="3">
        <v>202</v>
      </c>
      <c r="AK38" s="3">
        <v>368</v>
      </c>
      <c r="AL38" s="3">
        <v>65</v>
      </c>
      <c r="AM38" s="3">
        <v>162</v>
      </c>
    </row>
    <row r="39" spans="1:39" x14ac:dyDescent="0.25">
      <c r="A39" s="2" t="s">
        <v>65</v>
      </c>
      <c r="B39" s="2" t="s">
        <v>32</v>
      </c>
      <c r="C39" s="3">
        <v>219</v>
      </c>
      <c r="D39" s="3">
        <v>351</v>
      </c>
      <c r="E39" s="3">
        <f t="shared" si="6"/>
        <v>-132</v>
      </c>
      <c r="F39" s="3">
        <v>87</v>
      </c>
      <c r="G39" s="3">
        <v>100</v>
      </c>
      <c r="H39" s="3">
        <f t="shared" si="5"/>
        <v>55</v>
      </c>
      <c r="T39" s="3">
        <v>266</v>
      </c>
      <c r="U39" s="3">
        <v>348</v>
      </c>
      <c r="V39" s="3">
        <v>61</v>
      </c>
      <c r="W39" s="3">
        <v>189</v>
      </c>
      <c r="X39" s="3">
        <v>553</v>
      </c>
      <c r="Y39" s="3">
        <v>712</v>
      </c>
      <c r="Z39" s="3">
        <v>139</v>
      </c>
      <c r="AA39" s="3">
        <v>215</v>
      </c>
      <c r="AB39" s="3">
        <v>559</v>
      </c>
      <c r="AC39" s="3">
        <v>801</v>
      </c>
      <c r="AD39" s="3">
        <v>179</v>
      </c>
      <c r="AE39" s="3">
        <v>250</v>
      </c>
      <c r="AF39" s="3">
        <v>383</v>
      </c>
      <c r="AG39" s="3">
        <v>628</v>
      </c>
      <c r="AH39" s="3">
        <v>95</v>
      </c>
      <c r="AI39" s="3">
        <v>241</v>
      </c>
      <c r="AJ39" s="3">
        <v>201</v>
      </c>
      <c r="AK39" s="3">
        <v>370</v>
      </c>
      <c r="AL39" s="3">
        <v>63</v>
      </c>
      <c r="AM39" s="3">
        <v>161</v>
      </c>
    </row>
    <row r="40" spans="1:39" x14ac:dyDescent="0.25">
      <c r="A40" s="2" t="s">
        <v>91</v>
      </c>
      <c r="B40" s="2"/>
      <c r="C40" s="3">
        <f>SUM(C15:C39)</f>
        <v>5655</v>
      </c>
      <c r="D40" s="3">
        <f>SUM(D15:D39)</f>
        <v>7974</v>
      </c>
      <c r="E40" s="3">
        <f>SUM(E15:E39)</f>
        <v>-2319</v>
      </c>
      <c r="F40" s="3">
        <f>SUM(F15:F39)</f>
        <v>2436</v>
      </c>
      <c r="G40" s="3">
        <f>SUM(G15:G39)</f>
        <v>1762</v>
      </c>
      <c r="H40" s="3">
        <f>E40+F40+G40</f>
        <v>1879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39" x14ac:dyDescent="0.25">
      <c r="A41" s="2" t="s">
        <v>66</v>
      </c>
      <c r="B41" s="2" t="s">
        <v>8</v>
      </c>
      <c r="C41" s="3">
        <v>255</v>
      </c>
      <c r="D41" s="3">
        <v>238</v>
      </c>
      <c r="E41" s="3">
        <f t="shared" si="6"/>
        <v>17</v>
      </c>
      <c r="F41" s="3">
        <v>70</v>
      </c>
      <c r="G41" s="3">
        <v>71</v>
      </c>
      <c r="H41" s="3">
        <f t="shared" ref="H41:H104" si="7">E41+F41+G41</f>
        <v>158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39" x14ac:dyDescent="0.25">
      <c r="A42" s="2" t="s">
        <v>66</v>
      </c>
      <c r="B42" s="2" t="s">
        <v>9</v>
      </c>
      <c r="C42" s="3">
        <v>253</v>
      </c>
      <c r="D42" s="3">
        <v>241</v>
      </c>
      <c r="E42" s="3">
        <f t="shared" si="6"/>
        <v>12</v>
      </c>
      <c r="F42" s="3">
        <v>72</v>
      </c>
      <c r="G42" s="3">
        <v>104</v>
      </c>
      <c r="H42" s="3">
        <f t="shared" si="7"/>
        <v>188</v>
      </c>
    </row>
    <row r="43" spans="1:39" x14ac:dyDescent="0.25">
      <c r="A43" s="2" t="s">
        <v>66</v>
      </c>
      <c r="B43" s="2" t="s">
        <v>10</v>
      </c>
      <c r="C43" s="3">
        <v>253</v>
      </c>
      <c r="D43" s="3">
        <v>246</v>
      </c>
      <c r="E43" s="3">
        <f t="shared" si="6"/>
        <v>7</v>
      </c>
      <c r="F43" s="3">
        <v>76</v>
      </c>
      <c r="G43" s="3">
        <v>136</v>
      </c>
      <c r="H43" s="3">
        <f t="shared" si="7"/>
        <v>219</v>
      </c>
    </row>
    <row r="44" spans="1:39" x14ac:dyDescent="0.25">
      <c r="A44" s="2" t="s">
        <v>66</v>
      </c>
      <c r="B44" s="2" t="s">
        <v>11</v>
      </c>
      <c r="C44" s="3">
        <v>255</v>
      </c>
      <c r="D44" s="3">
        <v>251</v>
      </c>
      <c r="E44" s="3">
        <f t="shared" si="6"/>
        <v>4</v>
      </c>
      <c r="F44" s="3">
        <v>76</v>
      </c>
      <c r="G44" s="3">
        <v>168</v>
      </c>
      <c r="H44" s="3">
        <f t="shared" si="7"/>
        <v>248</v>
      </c>
    </row>
    <row r="45" spans="1:39" x14ac:dyDescent="0.25">
      <c r="A45" s="2" t="s">
        <v>66</v>
      </c>
      <c r="B45" s="2" t="s">
        <v>12</v>
      </c>
      <c r="C45" s="3">
        <v>257</v>
      </c>
      <c r="D45" s="3">
        <v>256</v>
      </c>
      <c r="E45" s="3">
        <f t="shared" si="6"/>
        <v>1</v>
      </c>
      <c r="F45" s="3">
        <v>79</v>
      </c>
      <c r="G45" s="3">
        <v>197</v>
      </c>
      <c r="H45" s="3">
        <f t="shared" si="7"/>
        <v>277</v>
      </c>
    </row>
    <row r="46" spans="1:39" x14ac:dyDescent="0.25">
      <c r="A46" s="2" t="s">
        <v>66</v>
      </c>
      <c r="B46" s="2" t="s">
        <v>13</v>
      </c>
      <c r="C46" s="3">
        <v>259</v>
      </c>
      <c r="D46" s="3">
        <v>262</v>
      </c>
      <c r="E46" s="3">
        <f t="shared" si="6"/>
        <v>-3</v>
      </c>
      <c r="F46" s="3">
        <v>79</v>
      </c>
      <c r="G46" s="3">
        <v>228</v>
      </c>
      <c r="H46" s="3">
        <f t="shared" si="7"/>
        <v>304</v>
      </c>
    </row>
    <row r="47" spans="1:39" x14ac:dyDescent="0.25">
      <c r="A47" s="2" t="s">
        <v>66</v>
      </c>
      <c r="B47" s="2" t="s">
        <v>14</v>
      </c>
      <c r="C47" s="3">
        <v>264</v>
      </c>
      <c r="D47" s="3">
        <v>268</v>
      </c>
      <c r="E47" s="3">
        <f t="shared" si="6"/>
        <v>-4</v>
      </c>
      <c r="F47" s="3">
        <v>78</v>
      </c>
      <c r="G47" s="3">
        <v>224</v>
      </c>
      <c r="H47" s="3">
        <f t="shared" si="7"/>
        <v>298</v>
      </c>
    </row>
    <row r="48" spans="1:39" x14ac:dyDescent="0.25">
      <c r="A48" s="2" t="s">
        <v>66</v>
      </c>
      <c r="B48" s="2" t="s">
        <v>15</v>
      </c>
      <c r="C48" s="3">
        <v>267</v>
      </c>
      <c r="D48" s="3">
        <v>274</v>
      </c>
      <c r="E48" s="3">
        <f t="shared" si="6"/>
        <v>-7</v>
      </c>
      <c r="F48" s="3">
        <v>77</v>
      </c>
      <c r="G48" s="3">
        <v>222</v>
      </c>
      <c r="H48" s="3">
        <f t="shared" si="7"/>
        <v>292</v>
      </c>
    </row>
    <row r="49" spans="1:8" x14ac:dyDescent="0.25">
      <c r="A49" s="2" t="s">
        <v>66</v>
      </c>
      <c r="B49" s="2" t="s">
        <v>16</v>
      </c>
      <c r="C49" s="3">
        <v>271</v>
      </c>
      <c r="D49" s="3">
        <v>280</v>
      </c>
      <c r="E49" s="3">
        <f t="shared" si="6"/>
        <v>-9</v>
      </c>
      <c r="F49" s="3">
        <v>77</v>
      </c>
      <c r="G49" s="3">
        <v>219</v>
      </c>
      <c r="H49" s="3">
        <f t="shared" si="7"/>
        <v>287</v>
      </c>
    </row>
    <row r="50" spans="1:8" x14ac:dyDescent="0.25">
      <c r="A50" s="2" t="s">
        <v>66</v>
      </c>
      <c r="B50" s="2" t="s">
        <v>17</v>
      </c>
      <c r="C50" s="3">
        <v>276</v>
      </c>
      <c r="D50" s="3">
        <v>286</v>
      </c>
      <c r="E50" s="3">
        <f t="shared" si="6"/>
        <v>-10</v>
      </c>
      <c r="F50" s="3">
        <v>76</v>
      </c>
      <c r="G50" s="3">
        <v>217</v>
      </c>
      <c r="H50" s="3">
        <f t="shared" si="7"/>
        <v>283</v>
      </c>
    </row>
    <row r="51" spans="1:8" x14ac:dyDescent="0.25">
      <c r="A51" s="2" t="s">
        <v>66</v>
      </c>
      <c r="B51" s="2" t="s">
        <v>18</v>
      </c>
      <c r="C51" s="3">
        <v>277</v>
      </c>
      <c r="D51" s="3">
        <v>292</v>
      </c>
      <c r="E51" s="3">
        <f t="shared" si="6"/>
        <v>-15</v>
      </c>
      <c r="F51" s="3">
        <v>75</v>
      </c>
      <c r="G51" s="3">
        <v>216</v>
      </c>
      <c r="H51" s="3">
        <f t="shared" si="7"/>
        <v>276</v>
      </c>
    </row>
    <row r="52" spans="1:8" x14ac:dyDescent="0.25">
      <c r="A52" s="2" t="s">
        <v>66</v>
      </c>
      <c r="B52" s="2" t="s">
        <v>19</v>
      </c>
      <c r="C52" s="3">
        <v>277</v>
      </c>
      <c r="D52" s="3">
        <v>298</v>
      </c>
      <c r="E52" s="3">
        <f t="shared" si="6"/>
        <v>-21</v>
      </c>
      <c r="F52" s="3">
        <v>74</v>
      </c>
      <c r="G52" s="3">
        <v>215</v>
      </c>
      <c r="H52" s="3">
        <f t="shared" si="7"/>
        <v>268</v>
      </c>
    </row>
    <row r="53" spans="1:8" x14ac:dyDescent="0.25">
      <c r="A53" s="2" t="s">
        <v>66</v>
      </c>
      <c r="B53" s="2" t="s">
        <v>20</v>
      </c>
      <c r="C53" s="3">
        <v>278</v>
      </c>
      <c r="D53" s="3">
        <v>303</v>
      </c>
      <c r="E53" s="3">
        <f t="shared" si="6"/>
        <v>-25</v>
      </c>
      <c r="F53" s="3">
        <v>73</v>
      </c>
      <c r="G53" s="3">
        <v>214</v>
      </c>
      <c r="H53" s="3">
        <f t="shared" si="7"/>
        <v>262</v>
      </c>
    </row>
    <row r="54" spans="1:8" x14ac:dyDescent="0.25">
      <c r="A54" s="2" t="s">
        <v>66</v>
      </c>
      <c r="B54" s="2" t="s">
        <v>21</v>
      </c>
      <c r="C54" s="3">
        <v>278</v>
      </c>
      <c r="D54" s="3">
        <v>308</v>
      </c>
      <c r="E54" s="3">
        <f t="shared" si="6"/>
        <v>-30</v>
      </c>
      <c r="F54" s="3">
        <v>72</v>
      </c>
      <c r="G54" s="3">
        <v>213</v>
      </c>
      <c r="H54" s="3">
        <f>E54+F54+G54</f>
        <v>255</v>
      </c>
    </row>
    <row r="55" spans="1:8" x14ac:dyDescent="0.25">
      <c r="A55" s="2" t="s">
        <v>66</v>
      </c>
      <c r="B55" s="2" t="s">
        <v>22</v>
      </c>
      <c r="C55" s="3">
        <v>279</v>
      </c>
      <c r="D55" s="3">
        <v>313</v>
      </c>
      <c r="E55" s="3">
        <f t="shared" si="6"/>
        <v>-34</v>
      </c>
      <c r="F55" s="3">
        <v>70</v>
      </c>
      <c r="G55" s="3">
        <v>212</v>
      </c>
      <c r="H55" s="3">
        <f t="shared" si="7"/>
        <v>248</v>
      </c>
    </row>
    <row r="56" spans="1:8" x14ac:dyDescent="0.25">
      <c r="A56" s="2" t="s">
        <v>66</v>
      </c>
      <c r="B56" s="2" t="s">
        <v>23</v>
      </c>
      <c r="C56" s="3">
        <v>278</v>
      </c>
      <c r="D56" s="3">
        <v>317</v>
      </c>
      <c r="E56" s="3">
        <f t="shared" si="6"/>
        <v>-39</v>
      </c>
      <c r="F56" s="3">
        <v>70</v>
      </c>
      <c r="G56" s="3">
        <v>210</v>
      </c>
      <c r="H56" s="3">
        <f t="shared" si="7"/>
        <v>241</v>
      </c>
    </row>
    <row r="57" spans="1:8" x14ac:dyDescent="0.25">
      <c r="A57" s="2" t="s">
        <v>66</v>
      </c>
      <c r="B57" s="2" t="s">
        <v>24</v>
      </c>
      <c r="C57" s="3">
        <v>278</v>
      </c>
      <c r="D57" s="3">
        <v>322</v>
      </c>
      <c r="E57" s="3">
        <f t="shared" si="6"/>
        <v>-44</v>
      </c>
      <c r="F57" s="3">
        <v>69</v>
      </c>
      <c r="G57" s="3">
        <v>209</v>
      </c>
      <c r="H57" s="3">
        <f t="shared" si="7"/>
        <v>234</v>
      </c>
    </row>
    <row r="58" spans="1:8" x14ac:dyDescent="0.25">
      <c r="A58" s="2" t="s">
        <v>66</v>
      </c>
      <c r="B58" s="2" t="s">
        <v>25</v>
      </c>
      <c r="C58" s="3">
        <v>276</v>
      </c>
      <c r="D58" s="3">
        <v>325</v>
      </c>
      <c r="E58" s="3">
        <f t="shared" si="6"/>
        <v>-49</v>
      </c>
      <c r="F58" s="3">
        <v>67</v>
      </c>
      <c r="G58" s="3">
        <v>207</v>
      </c>
      <c r="H58" s="3">
        <f t="shared" si="7"/>
        <v>225</v>
      </c>
    </row>
    <row r="59" spans="1:8" x14ac:dyDescent="0.25">
      <c r="A59" s="2" t="s">
        <v>66</v>
      </c>
      <c r="B59" s="2" t="s">
        <v>26</v>
      </c>
      <c r="C59" s="3">
        <v>275</v>
      </c>
      <c r="D59" s="3">
        <v>328</v>
      </c>
      <c r="E59" s="3">
        <f t="shared" si="6"/>
        <v>-53</v>
      </c>
      <c r="F59" s="3">
        <v>66</v>
      </c>
      <c r="G59" s="3">
        <v>206</v>
      </c>
      <c r="H59" s="3">
        <f t="shared" si="7"/>
        <v>219</v>
      </c>
    </row>
    <row r="60" spans="1:8" x14ac:dyDescent="0.25">
      <c r="A60" s="2" t="s">
        <v>66</v>
      </c>
      <c r="B60" s="2" t="s">
        <v>27</v>
      </c>
      <c r="C60" s="3">
        <v>273</v>
      </c>
      <c r="D60" s="3">
        <v>332</v>
      </c>
      <c r="E60" s="3">
        <f t="shared" si="6"/>
        <v>-59</v>
      </c>
      <c r="F60" s="3">
        <v>66</v>
      </c>
      <c r="G60" s="3">
        <v>203</v>
      </c>
      <c r="H60" s="3">
        <f t="shared" si="7"/>
        <v>210</v>
      </c>
    </row>
    <row r="61" spans="1:8" x14ac:dyDescent="0.25">
      <c r="A61" s="2" t="s">
        <v>66</v>
      </c>
      <c r="B61" s="2" t="s">
        <v>28</v>
      </c>
      <c r="C61" s="3">
        <v>272</v>
      </c>
      <c r="D61" s="3">
        <v>335</v>
      </c>
      <c r="E61" s="3">
        <f t="shared" si="6"/>
        <v>-63</v>
      </c>
      <c r="F61" s="3">
        <v>64</v>
      </c>
      <c r="G61" s="3">
        <v>200</v>
      </c>
      <c r="H61" s="3">
        <f t="shared" si="7"/>
        <v>201</v>
      </c>
    </row>
    <row r="62" spans="1:8" x14ac:dyDescent="0.25">
      <c r="A62" s="2" t="s">
        <v>66</v>
      </c>
      <c r="B62" s="2" t="s">
        <v>29</v>
      </c>
      <c r="C62" s="3">
        <v>270</v>
      </c>
      <c r="D62" s="3">
        <v>338</v>
      </c>
      <c r="E62" s="3">
        <f t="shared" si="6"/>
        <v>-68</v>
      </c>
      <c r="F62" s="3">
        <v>63</v>
      </c>
      <c r="G62" s="3">
        <v>199</v>
      </c>
      <c r="H62" s="3">
        <f t="shared" si="7"/>
        <v>194</v>
      </c>
    </row>
    <row r="63" spans="1:8" x14ac:dyDescent="0.25">
      <c r="A63" s="2" t="s">
        <v>66</v>
      </c>
      <c r="B63" s="2" t="s">
        <v>30</v>
      </c>
      <c r="C63" s="3">
        <v>268</v>
      </c>
      <c r="D63" s="3">
        <v>342</v>
      </c>
      <c r="E63" s="3">
        <f t="shared" si="6"/>
        <v>-74</v>
      </c>
      <c r="F63" s="3">
        <v>63</v>
      </c>
      <c r="G63" s="3">
        <v>195</v>
      </c>
      <c r="H63" s="3">
        <f t="shared" si="7"/>
        <v>184</v>
      </c>
    </row>
    <row r="64" spans="1:8" x14ac:dyDescent="0.25">
      <c r="A64" s="2" t="s">
        <v>66</v>
      </c>
      <c r="B64" s="2" t="s">
        <v>31</v>
      </c>
      <c r="C64" s="3">
        <v>266</v>
      </c>
      <c r="D64" s="3">
        <v>343</v>
      </c>
      <c r="E64" s="3">
        <f t="shared" si="6"/>
        <v>-77</v>
      </c>
      <c r="F64" s="3">
        <v>61</v>
      </c>
      <c r="G64" s="3">
        <v>192</v>
      </c>
      <c r="H64" s="3">
        <f t="shared" si="7"/>
        <v>176</v>
      </c>
    </row>
    <row r="65" spans="1:8" x14ac:dyDescent="0.25">
      <c r="A65" s="2" t="s">
        <v>66</v>
      </c>
      <c r="B65" s="2" t="s">
        <v>32</v>
      </c>
      <c r="C65" s="3">
        <v>266</v>
      </c>
      <c r="D65" s="3">
        <v>348</v>
      </c>
      <c r="E65" s="3">
        <f t="shared" si="6"/>
        <v>-82</v>
      </c>
      <c r="F65" s="3">
        <v>61</v>
      </c>
      <c r="G65" s="3">
        <v>189</v>
      </c>
      <c r="H65" s="3">
        <f t="shared" si="7"/>
        <v>168</v>
      </c>
    </row>
    <row r="66" spans="1:8" x14ac:dyDescent="0.25">
      <c r="A66" s="2" t="s">
        <v>91</v>
      </c>
      <c r="B66" s="2"/>
      <c r="C66" s="3">
        <f>SUM(C41:C65)</f>
        <v>6721</v>
      </c>
      <c r="D66" s="3">
        <f>SUM(D41:D65)</f>
        <v>7446</v>
      </c>
      <c r="E66" s="3">
        <f>SUM(E41:E65)</f>
        <v>-725</v>
      </c>
      <c r="F66" s="3">
        <f>SUM(F41:F65)</f>
        <v>1774</v>
      </c>
      <c r="G66" s="3">
        <f>SUM(G41:G65)</f>
        <v>4866</v>
      </c>
      <c r="H66" s="3">
        <f t="shared" si="7"/>
        <v>5915</v>
      </c>
    </row>
    <row r="67" spans="1:8" x14ac:dyDescent="0.25">
      <c r="A67" s="2" t="s">
        <v>67</v>
      </c>
      <c r="B67" s="2" t="s">
        <v>8</v>
      </c>
      <c r="C67" s="3">
        <v>555</v>
      </c>
      <c r="D67" s="3">
        <v>519</v>
      </c>
      <c r="E67" s="3">
        <f t="shared" si="6"/>
        <v>36</v>
      </c>
      <c r="F67" s="3">
        <v>214</v>
      </c>
      <c r="G67" s="3">
        <v>143</v>
      </c>
      <c r="H67" s="3">
        <f t="shared" si="7"/>
        <v>393</v>
      </c>
    </row>
    <row r="68" spans="1:8" x14ac:dyDescent="0.25">
      <c r="A68" s="2" t="s">
        <v>67</v>
      </c>
      <c r="B68" s="2" t="s">
        <v>9</v>
      </c>
      <c r="C68" s="3">
        <v>554</v>
      </c>
      <c r="D68" s="3">
        <v>524</v>
      </c>
      <c r="E68" s="3">
        <f t="shared" si="6"/>
        <v>30</v>
      </c>
      <c r="F68" s="3">
        <v>206</v>
      </c>
      <c r="G68" s="3">
        <v>164</v>
      </c>
      <c r="H68" s="3">
        <f t="shared" si="7"/>
        <v>400</v>
      </c>
    </row>
    <row r="69" spans="1:8" x14ac:dyDescent="0.25">
      <c r="A69" s="2" t="s">
        <v>67</v>
      </c>
      <c r="B69" s="2" t="s">
        <v>10</v>
      </c>
      <c r="C69" s="3">
        <v>556</v>
      </c>
      <c r="D69" s="3">
        <v>528</v>
      </c>
      <c r="E69" s="3">
        <f t="shared" si="6"/>
        <v>28</v>
      </c>
      <c r="F69" s="3">
        <v>197</v>
      </c>
      <c r="G69" s="3">
        <v>181</v>
      </c>
      <c r="H69" s="3">
        <f t="shared" si="7"/>
        <v>406</v>
      </c>
    </row>
    <row r="70" spans="1:8" x14ac:dyDescent="0.25">
      <c r="A70" s="2" t="s">
        <v>67</v>
      </c>
      <c r="B70" s="2" t="s">
        <v>11</v>
      </c>
      <c r="C70" s="3">
        <v>556</v>
      </c>
      <c r="D70" s="3">
        <v>536</v>
      </c>
      <c r="E70" s="3">
        <f t="shared" si="6"/>
        <v>20</v>
      </c>
      <c r="F70" s="3">
        <v>190</v>
      </c>
      <c r="G70" s="3">
        <v>197</v>
      </c>
      <c r="H70" s="3">
        <f t="shared" si="7"/>
        <v>407</v>
      </c>
    </row>
    <row r="71" spans="1:8" x14ac:dyDescent="0.25">
      <c r="A71" s="2" t="s">
        <v>67</v>
      </c>
      <c r="B71" s="2" t="s">
        <v>12</v>
      </c>
      <c r="C71" s="3">
        <v>559</v>
      </c>
      <c r="D71" s="3">
        <v>543</v>
      </c>
      <c r="E71" s="3">
        <f t="shared" si="6"/>
        <v>16</v>
      </c>
      <c r="F71" s="3">
        <v>180</v>
      </c>
      <c r="G71" s="3">
        <v>212</v>
      </c>
      <c r="H71" s="3">
        <f t="shared" si="7"/>
        <v>408</v>
      </c>
    </row>
    <row r="72" spans="1:8" x14ac:dyDescent="0.25">
      <c r="A72" s="2" t="s">
        <v>67</v>
      </c>
      <c r="B72" s="2" t="s">
        <v>13</v>
      </c>
      <c r="C72" s="3">
        <v>562</v>
      </c>
      <c r="D72" s="3">
        <v>551</v>
      </c>
      <c r="E72" s="3">
        <f t="shared" si="6"/>
        <v>11</v>
      </c>
      <c r="F72" s="3">
        <v>169</v>
      </c>
      <c r="G72" s="3">
        <v>227</v>
      </c>
      <c r="H72" s="3">
        <f t="shared" si="7"/>
        <v>407</v>
      </c>
    </row>
    <row r="73" spans="1:8" x14ac:dyDescent="0.25">
      <c r="A73" s="2" t="s">
        <v>67</v>
      </c>
      <c r="B73" s="2" t="s">
        <v>14</v>
      </c>
      <c r="C73" s="3">
        <v>566</v>
      </c>
      <c r="D73" s="3">
        <v>559</v>
      </c>
      <c r="E73" s="3">
        <f t="shared" si="6"/>
        <v>7</v>
      </c>
      <c r="F73" s="3">
        <v>167</v>
      </c>
      <c r="G73" s="3">
        <v>224</v>
      </c>
      <c r="H73" s="3">
        <f t="shared" si="7"/>
        <v>398</v>
      </c>
    </row>
    <row r="74" spans="1:8" x14ac:dyDescent="0.25">
      <c r="A74" s="2" t="s">
        <v>67</v>
      </c>
      <c r="B74" s="2" t="s">
        <v>15</v>
      </c>
      <c r="C74" s="3">
        <v>572</v>
      </c>
      <c r="D74" s="3">
        <v>570</v>
      </c>
      <c r="E74" s="3">
        <f t="shared" si="6"/>
        <v>2</v>
      </c>
      <c r="F74" s="3">
        <v>168</v>
      </c>
      <c r="G74" s="3">
        <v>221</v>
      </c>
      <c r="H74" s="3">
        <f t="shared" si="7"/>
        <v>391</v>
      </c>
    </row>
    <row r="75" spans="1:8" x14ac:dyDescent="0.25">
      <c r="A75" s="2" t="s">
        <v>67</v>
      </c>
      <c r="B75" s="2" t="s">
        <v>16</v>
      </c>
      <c r="C75" s="3">
        <v>576</v>
      </c>
      <c r="D75" s="3">
        <v>579</v>
      </c>
      <c r="E75" s="3">
        <f t="shared" si="6"/>
        <v>-3</v>
      </c>
      <c r="F75" s="3">
        <v>168</v>
      </c>
      <c r="G75" s="3">
        <v>221</v>
      </c>
      <c r="H75" s="3">
        <f t="shared" si="7"/>
        <v>386</v>
      </c>
    </row>
    <row r="76" spans="1:8" x14ac:dyDescent="0.25">
      <c r="A76" s="2" t="s">
        <v>67</v>
      </c>
      <c r="B76" s="2" t="s">
        <v>17</v>
      </c>
      <c r="C76" s="3">
        <v>583</v>
      </c>
      <c r="D76" s="3">
        <v>589</v>
      </c>
      <c r="E76" s="3">
        <f t="shared" si="6"/>
        <v>-6</v>
      </c>
      <c r="F76" s="3">
        <v>166</v>
      </c>
      <c r="G76" s="3">
        <v>221</v>
      </c>
      <c r="H76" s="3">
        <f t="shared" si="7"/>
        <v>381</v>
      </c>
    </row>
    <row r="77" spans="1:8" x14ac:dyDescent="0.25">
      <c r="A77" s="2" t="s">
        <v>67</v>
      </c>
      <c r="B77" s="2" t="s">
        <v>18</v>
      </c>
      <c r="C77" s="3">
        <v>584</v>
      </c>
      <c r="D77" s="3">
        <v>599</v>
      </c>
      <c r="E77" s="3">
        <f t="shared" si="6"/>
        <v>-15</v>
      </c>
      <c r="F77" s="3">
        <v>165</v>
      </c>
      <c r="G77" s="3">
        <v>220</v>
      </c>
      <c r="H77" s="3">
        <f t="shared" si="7"/>
        <v>370</v>
      </c>
    </row>
    <row r="78" spans="1:8" x14ac:dyDescent="0.25">
      <c r="A78" s="2" t="s">
        <v>67</v>
      </c>
      <c r="B78" s="2" t="s">
        <v>19</v>
      </c>
      <c r="C78" s="3">
        <v>585</v>
      </c>
      <c r="D78" s="3">
        <v>609</v>
      </c>
      <c r="E78" s="3">
        <f t="shared" si="6"/>
        <v>-24</v>
      </c>
      <c r="F78" s="3">
        <v>163</v>
      </c>
      <c r="G78" s="3">
        <v>220</v>
      </c>
      <c r="H78" s="3">
        <f t="shared" si="7"/>
        <v>359</v>
      </c>
    </row>
    <row r="79" spans="1:8" x14ac:dyDescent="0.25">
      <c r="A79" s="2" t="s">
        <v>67</v>
      </c>
      <c r="B79" s="2" t="s">
        <v>20</v>
      </c>
      <c r="C79" s="3">
        <v>586</v>
      </c>
      <c r="D79" s="3">
        <v>619</v>
      </c>
      <c r="E79" s="3">
        <f t="shared" si="6"/>
        <v>-33</v>
      </c>
      <c r="F79" s="3">
        <v>161</v>
      </c>
      <c r="G79" s="3">
        <v>220</v>
      </c>
      <c r="H79" s="3">
        <f t="shared" si="7"/>
        <v>348</v>
      </c>
    </row>
    <row r="80" spans="1:8" x14ac:dyDescent="0.25">
      <c r="A80" s="2" t="s">
        <v>67</v>
      </c>
      <c r="B80" s="2" t="s">
        <v>21</v>
      </c>
      <c r="C80" s="3">
        <v>585</v>
      </c>
      <c r="D80" s="3">
        <v>628</v>
      </c>
      <c r="E80" s="3">
        <f t="shared" si="6"/>
        <v>-43</v>
      </c>
      <c r="F80" s="3">
        <v>160</v>
      </c>
      <c r="G80" s="3">
        <v>219</v>
      </c>
      <c r="H80" s="3">
        <f t="shared" si="7"/>
        <v>336</v>
      </c>
    </row>
    <row r="81" spans="1:8" x14ac:dyDescent="0.25">
      <c r="A81" s="2" t="s">
        <v>67</v>
      </c>
      <c r="B81" s="2" t="s">
        <v>22</v>
      </c>
      <c r="C81" s="3">
        <v>586</v>
      </c>
      <c r="D81" s="3">
        <v>637</v>
      </c>
      <c r="E81" s="3">
        <f t="shared" si="6"/>
        <v>-51</v>
      </c>
      <c r="F81" s="3">
        <v>157</v>
      </c>
      <c r="G81" s="3">
        <v>218</v>
      </c>
      <c r="H81" s="3">
        <f t="shared" si="7"/>
        <v>324</v>
      </c>
    </row>
    <row r="82" spans="1:8" x14ac:dyDescent="0.25">
      <c r="A82" s="2" t="s">
        <v>67</v>
      </c>
      <c r="B82" s="2" t="s">
        <v>23</v>
      </c>
      <c r="C82" s="3">
        <v>584</v>
      </c>
      <c r="D82" s="3">
        <v>645</v>
      </c>
      <c r="E82" s="3">
        <f t="shared" ref="E82:E148" si="8">C82-D82</f>
        <v>-61</v>
      </c>
      <c r="F82" s="3">
        <v>155</v>
      </c>
      <c r="G82" s="3">
        <v>220</v>
      </c>
      <c r="H82" s="3">
        <f t="shared" si="7"/>
        <v>314</v>
      </c>
    </row>
    <row r="83" spans="1:8" x14ac:dyDescent="0.25">
      <c r="A83" s="2" t="s">
        <v>67</v>
      </c>
      <c r="B83" s="2" t="s">
        <v>24</v>
      </c>
      <c r="C83" s="3">
        <v>583</v>
      </c>
      <c r="D83" s="3">
        <v>654</v>
      </c>
      <c r="E83" s="3">
        <f t="shared" si="8"/>
        <v>-71</v>
      </c>
      <c r="F83" s="3">
        <v>154</v>
      </c>
      <c r="G83" s="3">
        <v>219</v>
      </c>
      <c r="H83" s="3">
        <f t="shared" si="7"/>
        <v>302</v>
      </c>
    </row>
    <row r="84" spans="1:8" x14ac:dyDescent="0.25">
      <c r="A84" s="2" t="s">
        <v>67</v>
      </c>
      <c r="B84" s="2" t="s">
        <v>25</v>
      </c>
      <c r="C84" s="3">
        <v>580</v>
      </c>
      <c r="D84" s="3">
        <v>661</v>
      </c>
      <c r="E84" s="3">
        <f t="shared" si="8"/>
        <v>-81</v>
      </c>
      <c r="F84" s="3">
        <v>152</v>
      </c>
      <c r="G84" s="3">
        <v>219</v>
      </c>
      <c r="H84" s="3">
        <f t="shared" si="7"/>
        <v>290</v>
      </c>
    </row>
    <row r="85" spans="1:8" x14ac:dyDescent="0.25">
      <c r="A85" s="2" t="s">
        <v>67</v>
      </c>
      <c r="B85" s="2" t="s">
        <v>26</v>
      </c>
      <c r="C85" s="3">
        <v>577</v>
      </c>
      <c r="D85" s="3">
        <v>668</v>
      </c>
      <c r="E85" s="3">
        <f t="shared" si="8"/>
        <v>-91</v>
      </c>
      <c r="F85" s="3">
        <v>149</v>
      </c>
      <c r="G85" s="3">
        <v>217</v>
      </c>
      <c r="H85" s="3">
        <f t="shared" si="7"/>
        <v>275</v>
      </c>
    </row>
    <row r="86" spans="1:8" x14ac:dyDescent="0.25">
      <c r="A86" s="2" t="s">
        <v>67</v>
      </c>
      <c r="B86" s="2" t="s">
        <v>27</v>
      </c>
      <c r="C86" s="3">
        <v>573</v>
      </c>
      <c r="D86" s="3">
        <v>676</v>
      </c>
      <c r="E86" s="3">
        <f t="shared" si="8"/>
        <v>-103</v>
      </c>
      <c r="F86" s="3">
        <v>148</v>
      </c>
      <c r="G86" s="3">
        <v>217</v>
      </c>
      <c r="H86" s="3">
        <f t="shared" si="7"/>
        <v>262</v>
      </c>
    </row>
    <row r="87" spans="1:8" x14ac:dyDescent="0.25">
      <c r="A87" s="2" t="s">
        <v>67</v>
      </c>
      <c r="B87" s="2" t="s">
        <v>28</v>
      </c>
      <c r="C87" s="3">
        <v>570</v>
      </c>
      <c r="D87" s="3">
        <v>683</v>
      </c>
      <c r="E87" s="3">
        <f t="shared" si="8"/>
        <v>-113</v>
      </c>
      <c r="F87" s="3">
        <v>146</v>
      </c>
      <c r="G87" s="3">
        <v>216</v>
      </c>
      <c r="H87" s="3">
        <f t="shared" si="7"/>
        <v>249</v>
      </c>
    </row>
    <row r="88" spans="1:8" x14ac:dyDescent="0.25">
      <c r="A88" s="2" t="s">
        <v>67</v>
      </c>
      <c r="B88" s="2" t="s">
        <v>29</v>
      </c>
      <c r="C88" s="3">
        <v>565</v>
      </c>
      <c r="D88" s="3">
        <v>690</v>
      </c>
      <c r="E88" s="3">
        <f t="shared" si="8"/>
        <v>-125</v>
      </c>
      <c r="F88" s="3">
        <v>144</v>
      </c>
      <c r="G88" s="3">
        <v>216</v>
      </c>
      <c r="H88" s="3">
        <f t="shared" si="7"/>
        <v>235</v>
      </c>
    </row>
    <row r="89" spans="1:8" x14ac:dyDescent="0.25">
      <c r="A89" s="2" t="s">
        <v>67</v>
      </c>
      <c r="B89" s="2" t="s">
        <v>30</v>
      </c>
      <c r="C89" s="3">
        <v>561</v>
      </c>
      <c r="D89" s="3">
        <v>697</v>
      </c>
      <c r="E89" s="3">
        <f t="shared" si="8"/>
        <v>-136</v>
      </c>
      <c r="F89" s="3">
        <v>142</v>
      </c>
      <c r="G89" s="3">
        <v>216</v>
      </c>
      <c r="H89" s="3">
        <f t="shared" si="7"/>
        <v>222</v>
      </c>
    </row>
    <row r="90" spans="1:8" x14ac:dyDescent="0.25">
      <c r="A90" s="2" t="s">
        <v>67</v>
      </c>
      <c r="B90" s="2" t="s">
        <v>31</v>
      </c>
      <c r="C90" s="3">
        <v>558</v>
      </c>
      <c r="D90" s="3">
        <v>705</v>
      </c>
      <c r="E90" s="3">
        <f t="shared" si="8"/>
        <v>-147</v>
      </c>
      <c r="F90" s="3">
        <v>140</v>
      </c>
      <c r="G90" s="3">
        <v>216</v>
      </c>
      <c r="H90" s="3">
        <f t="shared" si="7"/>
        <v>209</v>
      </c>
    </row>
    <row r="91" spans="1:8" x14ac:dyDescent="0.25">
      <c r="A91" s="2" t="s">
        <v>67</v>
      </c>
      <c r="B91" s="2" t="s">
        <v>32</v>
      </c>
      <c r="C91" s="3">
        <v>553</v>
      </c>
      <c r="D91" s="3">
        <v>712</v>
      </c>
      <c r="E91" s="3">
        <f t="shared" si="8"/>
        <v>-159</v>
      </c>
      <c r="F91" s="3">
        <v>139</v>
      </c>
      <c r="G91" s="3">
        <v>215</v>
      </c>
      <c r="H91" s="3">
        <f t="shared" si="7"/>
        <v>195</v>
      </c>
    </row>
    <row r="92" spans="1:8" x14ac:dyDescent="0.25">
      <c r="A92" s="2"/>
      <c r="B92" s="2"/>
      <c r="C92" s="3">
        <f>SUM(C67:C91)</f>
        <v>14269</v>
      </c>
      <c r="D92" s="3">
        <f>SUM(D67:D91)</f>
        <v>15381</v>
      </c>
      <c r="E92" s="3">
        <f>SUM(E67:E91)</f>
        <v>-1112</v>
      </c>
      <c r="F92" s="3">
        <f>SUM(F67:F91)</f>
        <v>4100</v>
      </c>
      <c r="G92" s="3">
        <f>SUM(G67:G91)</f>
        <v>5279</v>
      </c>
      <c r="H92" s="3">
        <f t="shared" si="7"/>
        <v>8267</v>
      </c>
    </row>
    <row r="93" spans="1:8" x14ac:dyDescent="0.25">
      <c r="A93" s="2" t="s">
        <v>68</v>
      </c>
      <c r="B93" s="2" t="s">
        <v>8</v>
      </c>
      <c r="C93" s="3">
        <v>556</v>
      </c>
      <c r="D93" s="3">
        <v>615</v>
      </c>
      <c r="E93" s="3">
        <f t="shared" si="8"/>
        <v>-59</v>
      </c>
      <c r="F93" s="3">
        <v>171</v>
      </c>
      <c r="G93" s="3">
        <v>174</v>
      </c>
      <c r="H93" s="3">
        <f t="shared" si="7"/>
        <v>286</v>
      </c>
    </row>
    <row r="94" spans="1:8" x14ac:dyDescent="0.25">
      <c r="A94" s="2" t="s">
        <v>68</v>
      </c>
      <c r="B94" s="2" t="s">
        <v>9</v>
      </c>
      <c r="C94" s="3">
        <v>556</v>
      </c>
      <c r="D94" s="3">
        <v>619</v>
      </c>
      <c r="E94" s="3">
        <f t="shared" si="8"/>
        <v>-63</v>
      </c>
      <c r="F94" s="3">
        <v>181</v>
      </c>
      <c r="G94" s="3">
        <v>191</v>
      </c>
      <c r="H94" s="3">
        <f t="shared" si="7"/>
        <v>309</v>
      </c>
    </row>
    <row r="95" spans="1:8" x14ac:dyDescent="0.25">
      <c r="A95" s="2" t="s">
        <v>68</v>
      </c>
      <c r="B95" s="2" t="s">
        <v>10</v>
      </c>
      <c r="C95" s="3">
        <v>558</v>
      </c>
      <c r="D95" s="3">
        <v>626</v>
      </c>
      <c r="E95" s="3">
        <f t="shared" si="8"/>
        <v>-68</v>
      </c>
      <c r="F95" s="3">
        <v>192</v>
      </c>
      <c r="G95" s="3">
        <v>206</v>
      </c>
      <c r="H95" s="3">
        <f t="shared" si="7"/>
        <v>330</v>
      </c>
    </row>
    <row r="96" spans="1:8" x14ac:dyDescent="0.25">
      <c r="A96" s="2" t="s">
        <v>68</v>
      </c>
      <c r="B96" s="2" t="s">
        <v>11</v>
      </c>
      <c r="C96" s="3">
        <v>560</v>
      </c>
      <c r="D96" s="3">
        <v>634</v>
      </c>
      <c r="E96" s="3">
        <f t="shared" si="8"/>
        <v>-74</v>
      </c>
      <c r="F96" s="3">
        <v>203</v>
      </c>
      <c r="G96" s="3">
        <v>218</v>
      </c>
      <c r="H96" s="3">
        <f t="shared" si="7"/>
        <v>347</v>
      </c>
    </row>
    <row r="97" spans="1:8" x14ac:dyDescent="0.25">
      <c r="A97" s="2" t="s">
        <v>68</v>
      </c>
      <c r="B97" s="2" t="s">
        <v>12</v>
      </c>
      <c r="C97" s="3">
        <v>562</v>
      </c>
      <c r="D97" s="3">
        <v>643</v>
      </c>
      <c r="E97" s="3">
        <f t="shared" si="8"/>
        <v>-81</v>
      </c>
      <c r="F97" s="3">
        <v>210</v>
      </c>
      <c r="G97" s="3">
        <v>228</v>
      </c>
      <c r="H97" s="3">
        <f t="shared" si="7"/>
        <v>357</v>
      </c>
    </row>
    <row r="98" spans="1:8" x14ac:dyDescent="0.25">
      <c r="A98" s="2" t="s">
        <v>68</v>
      </c>
      <c r="B98" s="2" t="s">
        <v>13</v>
      </c>
      <c r="C98" s="3">
        <v>567</v>
      </c>
      <c r="D98" s="3">
        <v>651</v>
      </c>
      <c r="E98" s="3">
        <f t="shared" si="8"/>
        <v>-84</v>
      </c>
      <c r="F98" s="3">
        <v>215</v>
      </c>
      <c r="G98" s="3">
        <v>235</v>
      </c>
      <c r="H98" s="3">
        <f t="shared" si="7"/>
        <v>366</v>
      </c>
    </row>
    <row r="99" spans="1:8" x14ac:dyDescent="0.25">
      <c r="A99" s="2" t="s">
        <v>68</v>
      </c>
      <c r="B99" s="2" t="s">
        <v>14</v>
      </c>
      <c r="C99" s="3">
        <v>572</v>
      </c>
      <c r="D99" s="3">
        <v>662</v>
      </c>
      <c r="E99" s="3">
        <f t="shared" si="8"/>
        <v>-90</v>
      </c>
      <c r="F99" s="3">
        <v>213</v>
      </c>
      <c r="G99" s="3">
        <v>233</v>
      </c>
      <c r="H99" s="3">
        <f t="shared" si="7"/>
        <v>356</v>
      </c>
    </row>
    <row r="100" spans="1:8" x14ac:dyDescent="0.25">
      <c r="A100" s="2" t="s">
        <v>68</v>
      </c>
      <c r="B100" s="2" t="s">
        <v>15</v>
      </c>
      <c r="C100" s="3">
        <v>578</v>
      </c>
      <c r="D100" s="3">
        <v>673</v>
      </c>
      <c r="E100" s="3">
        <f t="shared" si="8"/>
        <v>-95</v>
      </c>
      <c r="F100" s="3">
        <v>215</v>
      </c>
      <c r="G100" s="3">
        <v>232</v>
      </c>
      <c r="H100" s="3">
        <f t="shared" si="7"/>
        <v>352</v>
      </c>
    </row>
    <row r="101" spans="1:8" x14ac:dyDescent="0.25">
      <c r="A101" s="2" t="s">
        <v>68</v>
      </c>
      <c r="B101" s="2" t="s">
        <v>16</v>
      </c>
      <c r="C101" s="3">
        <v>584</v>
      </c>
      <c r="D101" s="3">
        <v>682</v>
      </c>
      <c r="E101" s="3">
        <f t="shared" si="8"/>
        <v>-98</v>
      </c>
      <c r="F101" s="3">
        <v>215</v>
      </c>
      <c r="G101" s="3">
        <v>230</v>
      </c>
      <c r="H101" s="3">
        <f t="shared" si="7"/>
        <v>347</v>
      </c>
    </row>
    <row r="102" spans="1:8" x14ac:dyDescent="0.25">
      <c r="A102" s="2" t="s">
        <v>68</v>
      </c>
      <c r="B102" s="2" t="s">
        <v>17</v>
      </c>
      <c r="C102" s="3">
        <v>592</v>
      </c>
      <c r="D102" s="3">
        <v>693</v>
      </c>
      <c r="E102" s="3">
        <f t="shared" si="8"/>
        <v>-101</v>
      </c>
      <c r="F102" s="3">
        <v>213</v>
      </c>
      <c r="G102" s="3">
        <v>230</v>
      </c>
      <c r="H102" s="3">
        <f t="shared" si="7"/>
        <v>342</v>
      </c>
    </row>
    <row r="103" spans="1:8" x14ac:dyDescent="0.25">
      <c r="A103" s="2" t="s">
        <v>68</v>
      </c>
      <c r="B103" s="2" t="s">
        <v>18</v>
      </c>
      <c r="C103" s="3">
        <v>593</v>
      </c>
      <c r="D103" s="3">
        <v>704</v>
      </c>
      <c r="E103" s="3">
        <f t="shared" si="8"/>
        <v>-111</v>
      </c>
      <c r="F103" s="3">
        <v>212</v>
      </c>
      <c r="G103" s="3">
        <v>230</v>
      </c>
      <c r="H103" s="3">
        <f t="shared" si="7"/>
        <v>331</v>
      </c>
    </row>
    <row r="104" spans="1:8" x14ac:dyDescent="0.25">
      <c r="A104" s="2" t="s">
        <v>68</v>
      </c>
      <c r="B104" s="2" t="s">
        <v>19</v>
      </c>
      <c r="C104" s="3">
        <v>594</v>
      </c>
      <c r="D104" s="3">
        <v>713</v>
      </c>
      <c r="E104" s="3">
        <f t="shared" si="8"/>
        <v>-119</v>
      </c>
      <c r="F104" s="3">
        <v>210</v>
      </c>
      <c r="G104" s="3">
        <v>232</v>
      </c>
      <c r="H104" s="3">
        <f t="shared" si="7"/>
        <v>323</v>
      </c>
    </row>
    <row r="105" spans="1:8" x14ac:dyDescent="0.25">
      <c r="A105" s="2" t="s">
        <v>68</v>
      </c>
      <c r="B105" s="2" t="s">
        <v>20</v>
      </c>
      <c r="C105" s="3">
        <v>595</v>
      </c>
      <c r="D105" s="3">
        <v>724</v>
      </c>
      <c r="E105" s="3">
        <f t="shared" si="8"/>
        <v>-129</v>
      </c>
      <c r="F105" s="3">
        <v>208</v>
      </c>
      <c r="G105" s="3">
        <v>235</v>
      </c>
      <c r="H105" s="3">
        <f t="shared" ref="H105:H168" si="9">E105+F105+G105</f>
        <v>314</v>
      </c>
    </row>
    <row r="106" spans="1:8" x14ac:dyDescent="0.25">
      <c r="A106" s="2" t="s">
        <v>68</v>
      </c>
      <c r="B106" s="2" t="s">
        <v>21</v>
      </c>
      <c r="C106" s="3">
        <v>596</v>
      </c>
      <c r="D106" s="3">
        <v>731</v>
      </c>
      <c r="E106" s="3">
        <f t="shared" si="8"/>
        <v>-135</v>
      </c>
      <c r="F106" s="3">
        <v>206</v>
      </c>
      <c r="G106" s="3">
        <v>238</v>
      </c>
      <c r="H106" s="3">
        <f t="shared" si="9"/>
        <v>309</v>
      </c>
    </row>
    <row r="107" spans="1:8" x14ac:dyDescent="0.25">
      <c r="A107" s="2" t="s">
        <v>68</v>
      </c>
      <c r="B107" s="2" t="s">
        <v>22</v>
      </c>
      <c r="C107" s="3">
        <v>594</v>
      </c>
      <c r="D107" s="3">
        <v>740</v>
      </c>
      <c r="E107" s="3">
        <f t="shared" si="8"/>
        <v>-146</v>
      </c>
      <c r="F107" s="3">
        <v>204</v>
      </c>
      <c r="G107" s="3">
        <v>244</v>
      </c>
      <c r="H107" s="3">
        <f t="shared" si="9"/>
        <v>302</v>
      </c>
    </row>
    <row r="108" spans="1:8" x14ac:dyDescent="0.25">
      <c r="A108" s="2" t="s">
        <v>68</v>
      </c>
      <c r="B108" s="2" t="s">
        <v>23</v>
      </c>
      <c r="C108" s="3">
        <v>593</v>
      </c>
      <c r="D108" s="3">
        <v>746</v>
      </c>
      <c r="E108" s="3">
        <f t="shared" si="8"/>
        <v>-153</v>
      </c>
      <c r="F108" s="3">
        <v>201</v>
      </c>
      <c r="G108" s="3">
        <v>247</v>
      </c>
      <c r="H108" s="3">
        <f t="shared" si="9"/>
        <v>295</v>
      </c>
    </row>
    <row r="109" spans="1:8" x14ac:dyDescent="0.25">
      <c r="A109" s="2" t="s">
        <v>68</v>
      </c>
      <c r="B109" s="2" t="s">
        <v>24</v>
      </c>
      <c r="C109" s="3">
        <v>591</v>
      </c>
      <c r="D109" s="3">
        <v>754</v>
      </c>
      <c r="E109" s="3">
        <f t="shared" si="8"/>
        <v>-163</v>
      </c>
      <c r="F109" s="3">
        <v>200</v>
      </c>
      <c r="G109" s="3">
        <v>252</v>
      </c>
      <c r="H109" s="3">
        <f t="shared" si="9"/>
        <v>289</v>
      </c>
    </row>
    <row r="110" spans="1:8" x14ac:dyDescent="0.25">
      <c r="A110" s="2" t="s">
        <v>68</v>
      </c>
      <c r="B110" s="2" t="s">
        <v>25</v>
      </c>
      <c r="C110" s="3">
        <v>588</v>
      </c>
      <c r="D110" s="3">
        <v>759</v>
      </c>
      <c r="E110" s="3">
        <f t="shared" si="8"/>
        <v>-171</v>
      </c>
      <c r="F110" s="3">
        <v>196</v>
      </c>
      <c r="G110" s="3">
        <v>254</v>
      </c>
      <c r="H110" s="3">
        <f t="shared" si="9"/>
        <v>279</v>
      </c>
    </row>
    <row r="111" spans="1:8" x14ac:dyDescent="0.25">
      <c r="A111" s="2" t="s">
        <v>68</v>
      </c>
      <c r="B111" s="2" t="s">
        <v>26</v>
      </c>
      <c r="C111" s="3">
        <v>584</v>
      </c>
      <c r="D111" s="3">
        <v>765</v>
      </c>
      <c r="E111" s="3">
        <f t="shared" si="8"/>
        <v>-181</v>
      </c>
      <c r="F111" s="3">
        <v>195</v>
      </c>
      <c r="G111" s="3">
        <v>255</v>
      </c>
      <c r="H111" s="3">
        <f t="shared" si="9"/>
        <v>269</v>
      </c>
    </row>
    <row r="112" spans="1:8" x14ac:dyDescent="0.25">
      <c r="A112" s="2" t="s">
        <v>68</v>
      </c>
      <c r="B112" s="2" t="s">
        <v>27</v>
      </c>
      <c r="C112" s="3">
        <v>581</v>
      </c>
      <c r="D112" s="3">
        <v>771</v>
      </c>
      <c r="E112" s="3">
        <f t="shared" si="8"/>
        <v>-190</v>
      </c>
      <c r="F112" s="3">
        <v>192</v>
      </c>
      <c r="G112" s="3">
        <v>256</v>
      </c>
      <c r="H112" s="3">
        <f t="shared" si="9"/>
        <v>258</v>
      </c>
    </row>
    <row r="113" spans="1:8" x14ac:dyDescent="0.25">
      <c r="A113" s="2" t="s">
        <v>68</v>
      </c>
      <c r="B113" s="2" t="s">
        <v>28</v>
      </c>
      <c r="C113" s="3">
        <v>576</v>
      </c>
      <c r="D113" s="3">
        <v>777</v>
      </c>
      <c r="E113" s="3">
        <f t="shared" si="8"/>
        <v>-201</v>
      </c>
      <c r="F113" s="3">
        <v>189</v>
      </c>
      <c r="G113" s="3">
        <v>256</v>
      </c>
      <c r="H113" s="3">
        <f t="shared" si="9"/>
        <v>244</v>
      </c>
    </row>
    <row r="114" spans="1:8" x14ac:dyDescent="0.25">
      <c r="A114" s="2" t="s">
        <v>68</v>
      </c>
      <c r="B114" s="2" t="s">
        <v>29</v>
      </c>
      <c r="C114" s="3">
        <v>572</v>
      </c>
      <c r="D114" s="3">
        <v>782</v>
      </c>
      <c r="E114" s="3">
        <f t="shared" si="8"/>
        <v>-210</v>
      </c>
      <c r="F114" s="3">
        <v>186</v>
      </c>
      <c r="G114" s="3">
        <v>256</v>
      </c>
      <c r="H114" s="3">
        <f t="shared" si="9"/>
        <v>232</v>
      </c>
    </row>
    <row r="115" spans="1:8" x14ac:dyDescent="0.25">
      <c r="A115" s="2" t="s">
        <v>68</v>
      </c>
      <c r="B115" s="2" t="s">
        <v>30</v>
      </c>
      <c r="C115" s="3">
        <v>568</v>
      </c>
      <c r="D115" s="3">
        <v>788</v>
      </c>
      <c r="E115" s="3">
        <f t="shared" si="8"/>
        <v>-220</v>
      </c>
      <c r="F115" s="3">
        <v>183</v>
      </c>
      <c r="G115" s="3">
        <v>254</v>
      </c>
      <c r="H115" s="3">
        <f t="shared" si="9"/>
        <v>217</v>
      </c>
    </row>
    <row r="116" spans="1:8" x14ac:dyDescent="0.25">
      <c r="A116" s="2" t="s">
        <v>68</v>
      </c>
      <c r="B116" s="2" t="s">
        <v>31</v>
      </c>
      <c r="C116" s="3">
        <v>562</v>
      </c>
      <c r="D116" s="3">
        <v>794</v>
      </c>
      <c r="E116" s="3">
        <f t="shared" si="8"/>
        <v>-232</v>
      </c>
      <c r="F116" s="3">
        <v>182</v>
      </c>
      <c r="G116" s="3">
        <v>253</v>
      </c>
      <c r="H116" s="3">
        <f t="shared" si="9"/>
        <v>203</v>
      </c>
    </row>
    <row r="117" spans="1:8" x14ac:dyDescent="0.25">
      <c r="A117" s="2" t="s">
        <v>68</v>
      </c>
      <c r="B117" s="2" t="s">
        <v>32</v>
      </c>
      <c r="C117" s="3">
        <v>559</v>
      </c>
      <c r="D117" s="3">
        <v>801</v>
      </c>
      <c r="E117" s="3">
        <f t="shared" si="8"/>
        <v>-242</v>
      </c>
      <c r="F117" s="3">
        <v>179</v>
      </c>
      <c r="G117" s="3">
        <v>250</v>
      </c>
      <c r="H117" s="3">
        <f t="shared" si="9"/>
        <v>187</v>
      </c>
    </row>
    <row r="118" spans="1:8" x14ac:dyDescent="0.25">
      <c r="A118" s="2"/>
      <c r="B118" s="2"/>
      <c r="C118" s="3">
        <f>SUM(C93:C117)</f>
        <v>14431</v>
      </c>
      <c r="D118" s="3">
        <f>SUM(D93:D117)</f>
        <v>17847</v>
      </c>
      <c r="E118" s="3">
        <f>SUM(E93:E117)</f>
        <v>-3416</v>
      </c>
      <c r="F118" s="3">
        <f>SUM(F93:F117)</f>
        <v>4971</v>
      </c>
      <c r="G118" s="3">
        <f>SUM(G93:G117)</f>
        <v>5889</v>
      </c>
      <c r="H118" s="3">
        <f t="shared" si="9"/>
        <v>7444</v>
      </c>
    </row>
    <row r="119" spans="1:8" x14ac:dyDescent="0.25">
      <c r="A119" s="2" t="s">
        <v>69</v>
      </c>
      <c r="B119" s="2" t="s">
        <v>8</v>
      </c>
      <c r="C119" s="3">
        <v>385</v>
      </c>
      <c r="D119" s="3">
        <v>480</v>
      </c>
      <c r="E119" s="3">
        <f t="shared" si="8"/>
        <v>-95</v>
      </c>
      <c r="F119" s="3">
        <v>60</v>
      </c>
      <c r="G119" s="3">
        <v>110</v>
      </c>
      <c r="H119" s="3">
        <f t="shared" si="9"/>
        <v>75</v>
      </c>
    </row>
    <row r="120" spans="1:8" x14ac:dyDescent="0.25">
      <c r="A120" s="2" t="s">
        <v>69</v>
      </c>
      <c r="B120" s="2" t="s">
        <v>9</v>
      </c>
      <c r="C120" s="3">
        <v>387</v>
      </c>
      <c r="D120" s="3">
        <v>485</v>
      </c>
      <c r="E120" s="3">
        <f t="shared" si="8"/>
        <v>-98</v>
      </c>
      <c r="F120" s="3">
        <v>72</v>
      </c>
      <c r="G120" s="3">
        <v>126</v>
      </c>
      <c r="H120" s="3">
        <f t="shared" si="9"/>
        <v>100</v>
      </c>
    </row>
    <row r="121" spans="1:8" x14ac:dyDescent="0.25">
      <c r="A121" s="2" t="s">
        <v>69</v>
      </c>
      <c r="B121" s="2" t="s">
        <v>10</v>
      </c>
      <c r="C121" s="3">
        <v>389</v>
      </c>
      <c r="D121" s="3">
        <v>489</v>
      </c>
      <c r="E121" s="3">
        <f t="shared" si="8"/>
        <v>-100</v>
      </c>
      <c r="F121" s="3">
        <v>83</v>
      </c>
      <c r="G121" s="3">
        <v>141</v>
      </c>
      <c r="H121" s="3">
        <f t="shared" si="9"/>
        <v>124</v>
      </c>
    </row>
    <row r="122" spans="1:8" x14ac:dyDescent="0.25">
      <c r="A122" s="2" t="s">
        <v>69</v>
      </c>
      <c r="B122" s="2" t="s">
        <v>11</v>
      </c>
      <c r="C122" s="3">
        <v>393</v>
      </c>
      <c r="D122" s="3">
        <v>496</v>
      </c>
      <c r="E122" s="3">
        <f t="shared" si="8"/>
        <v>-103</v>
      </c>
      <c r="F122" s="3">
        <v>94</v>
      </c>
      <c r="G122" s="3">
        <v>156</v>
      </c>
      <c r="H122" s="3">
        <f t="shared" si="9"/>
        <v>147</v>
      </c>
    </row>
    <row r="123" spans="1:8" x14ac:dyDescent="0.25">
      <c r="A123" s="2" t="s">
        <v>69</v>
      </c>
      <c r="B123" s="2" t="s">
        <v>12</v>
      </c>
      <c r="C123" s="3">
        <v>395</v>
      </c>
      <c r="D123" s="3">
        <v>504</v>
      </c>
      <c r="E123" s="3">
        <f t="shared" si="8"/>
        <v>-109</v>
      </c>
      <c r="F123" s="3">
        <v>104</v>
      </c>
      <c r="G123" s="3">
        <v>172</v>
      </c>
      <c r="H123" s="3">
        <f t="shared" si="9"/>
        <v>167</v>
      </c>
    </row>
    <row r="124" spans="1:8" x14ac:dyDescent="0.25">
      <c r="A124" s="2" t="s">
        <v>69</v>
      </c>
      <c r="B124" s="2" t="s">
        <v>13</v>
      </c>
      <c r="C124" s="3">
        <v>399</v>
      </c>
      <c r="D124" s="3">
        <v>511</v>
      </c>
      <c r="E124" s="3">
        <f t="shared" si="8"/>
        <v>-112</v>
      </c>
      <c r="F124" s="3">
        <v>112</v>
      </c>
      <c r="G124" s="3">
        <v>186</v>
      </c>
      <c r="H124" s="3">
        <f t="shared" si="9"/>
        <v>186</v>
      </c>
    </row>
    <row r="125" spans="1:8" x14ac:dyDescent="0.25">
      <c r="A125" s="2" t="s">
        <v>69</v>
      </c>
      <c r="B125" s="2" t="s">
        <v>14</v>
      </c>
      <c r="C125" s="3">
        <v>403</v>
      </c>
      <c r="D125" s="3">
        <v>519</v>
      </c>
      <c r="E125" s="3">
        <f t="shared" si="8"/>
        <v>-116</v>
      </c>
      <c r="F125" s="3">
        <v>111</v>
      </c>
      <c r="G125" s="3">
        <v>193</v>
      </c>
      <c r="H125" s="3">
        <f t="shared" si="9"/>
        <v>188</v>
      </c>
    </row>
    <row r="126" spans="1:8" x14ac:dyDescent="0.25">
      <c r="A126" s="2" t="s">
        <v>69</v>
      </c>
      <c r="B126" s="2" t="s">
        <v>15</v>
      </c>
      <c r="C126" s="3">
        <v>407</v>
      </c>
      <c r="D126" s="3">
        <v>528</v>
      </c>
      <c r="E126" s="3">
        <f t="shared" si="8"/>
        <v>-121</v>
      </c>
      <c r="F126" s="3">
        <v>112</v>
      </c>
      <c r="G126" s="3">
        <v>197</v>
      </c>
      <c r="H126" s="3">
        <f t="shared" si="9"/>
        <v>188</v>
      </c>
    </row>
    <row r="127" spans="1:8" x14ac:dyDescent="0.25">
      <c r="A127" s="2" t="s">
        <v>69</v>
      </c>
      <c r="B127" s="2" t="s">
        <v>16</v>
      </c>
      <c r="C127" s="3">
        <v>411</v>
      </c>
      <c r="D127" s="3">
        <v>537</v>
      </c>
      <c r="E127" s="3">
        <f t="shared" si="8"/>
        <v>-126</v>
      </c>
      <c r="F127" s="3">
        <v>112</v>
      </c>
      <c r="G127" s="3">
        <v>201</v>
      </c>
      <c r="H127" s="3">
        <f t="shared" si="9"/>
        <v>187</v>
      </c>
    </row>
    <row r="128" spans="1:8" x14ac:dyDescent="0.25">
      <c r="A128" s="2" t="s">
        <v>69</v>
      </c>
      <c r="B128" s="2" t="s">
        <v>17</v>
      </c>
      <c r="C128" s="3">
        <v>414</v>
      </c>
      <c r="D128" s="3">
        <v>545</v>
      </c>
      <c r="E128" s="3">
        <f t="shared" si="8"/>
        <v>-131</v>
      </c>
      <c r="F128" s="3">
        <v>111</v>
      </c>
      <c r="G128" s="3">
        <v>205</v>
      </c>
      <c r="H128" s="3">
        <f t="shared" si="9"/>
        <v>185</v>
      </c>
    </row>
    <row r="129" spans="1:8" x14ac:dyDescent="0.25">
      <c r="A129" s="2" t="s">
        <v>69</v>
      </c>
      <c r="B129" s="2" t="s">
        <v>18</v>
      </c>
      <c r="C129" s="3">
        <v>414</v>
      </c>
      <c r="D129" s="3">
        <v>556</v>
      </c>
      <c r="E129" s="3">
        <f t="shared" si="8"/>
        <v>-142</v>
      </c>
      <c r="F129" s="3">
        <v>111</v>
      </c>
      <c r="G129" s="3">
        <v>209</v>
      </c>
      <c r="H129" s="3">
        <f t="shared" si="9"/>
        <v>178</v>
      </c>
    </row>
    <row r="130" spans="1:8" x14ac:dyDescent="0.25">
      <c r="A130" s="2" t="s">
        <v>69</v>
      </c>
      <c r="B130" s="2" t="s">
        <v>19</v>
      </c>
      <c r="C130" s="3">
        <v>413</v>
      </c>
      <c r="D130" s="3">
        <v>564</v>
      </c>
      <c r="E130" s="3">
        <f t="shared" si="8"/>
        <v>-151</v>
      </c>
      <c r="F130" s="3">
        <v>110</v>
      </c>
      <c r="G130" s="3">
        <v>212</v>
      </c>
      <c r="H130" s="3">
        <f t="shared" si="9"/>
        <v>171</v>
      </c>
    </row>
    <row r="131" spans="1:8" x14ac:dyDescent="0.25">
      <c r="A131" s="2" t="s">
        <v>69</v>
      </c>
      <c r="B131" s="2" t="s">
        <v>20</v>
      </c>
      <c r="C131" s="3">
        <v>412</v>
      </c>
      <c r="D131" s="3">
        <v>572</v>
      </c>
      <c r="E131" s="3">
        <f t="shared" si="8"/>
        <v>-160</v>
      </c>
      <c r="F131" s="3">
        <v>108</v>
      </c>
      <c r="G131" s="3">
        <v>217</v>
      </c>
      <c r="H131" s="3">
        <f t="shared" si="9"/>
        <v>165</v>
      </c>
    </row>
    <row r="132" spans="1:8" x14ac:dyDescent="0.25">
      <c r="A132" s="2" t="s">
        <v>69</v>
      </c>
      <c r="B132" s="2" t="s">
        <v>21</v>
      </c>
      <c r="C132" s="3">
        <v>412</v>
      </c>
      <c r="D132" s="3">
        <v>581</v>
      </c>
      <c r="E132" s="3">
        <f t="shared" si="8"/>
        <v>-169</v>
      </c>
      <c r="F132" s="3">
        <v>108</v>
      </c>
      <c r="G132" s="3">
        <v>220</v>
      </c>
      <c r="H132" s="3">
        <f t="shared" si="9"/>
        <v>159</v>
      </c>
    </row>
    <row r="133" spans="1:8" x14ac:dyDescent="0.25">
      <c r="A133" s="2" t="s">
        <v>69</v>
      </c>
      <c r="B133" s="2" t="s">
        <v>22</v>
      </c>
      <c r="C133" s="3">
        <v>410</v>
      </c>
      <c r="D133" s="3">
        <v>589</v>
      </c>
      <c r="E133" s="3">
        <f t="shared" si="8"/>
        <v>-179</v>
      </c>
      <c r="F133" s="3">
        <v>107</v>
      </c>
      <c r="G133" s="3">
        <v>227</v>
      </c>
      <c r="H133" s="3">
        <f t="shared" si="9"/>
        <v>155</v>
      </c>
    </row>
    <row r="134" spans="1:8" x14ac:dyDescent="0.25">
      <c r="A134" s="2" t="s">
        <v>69</v>
      </c>
      <c r="B134" s="2" t="s">
        <v>23</v>
      </c>
      <c r="C134" s="3">
        <v>409</v>
      </c>
      <c r="D134" s="3">
        <v>595</v>
      </c>
      <c r="E134" s="3">
        <f t="shared" si="8"/>
        <v>-186</v>
      </c>
      <c r="F134" s="3">
        <v>105</v>
      </c>
      <c r="G134" s="3">
        <v>231</v>
      </c>
      <c r="H134" s="3">
        <f t="shared" si="9"/>
        <v>150</v>
      </c>
    </row>
    <row r="135" spans="1:8" x14ac:dyDescent="0.25">
      <c r="A135" s="2" t="s">
        <v>69</v>
      </c>
      <c r="B135" s="2" t="s">
        <v>24</v>
      </c>
      <c r="C135" s="3">
        <v>406</v>
      </c>
      <c r="D135" s="3">
        <v>601</v>
      </c>
      <c r="E135" s="3">
        <f t="shared" si="8"/>
        <v>-195</v>
      </c>
      <c r="F135" s="3">
        <v>105</v>
      </c>
      <c r="G135" s="3">
        <v>236</v>
      </c>
      <c r="H135" s="3">
        <f t="shared" si="9"/>
        <v>146</v>
      </c>
    </row>
    <row r="136" spans="1:8" x14ac:dyDescent="0.25">
      <c r="A136" s="2" t="s">
        <v>69</v>
      </c>
      <c r="B136" s="2" t="s">
        <v>25</v>
      </c>
      <c r="C136" s="3">
        <v>404</v>
      </c>
      <c r="D136" s="3">
        <v>606</v>
      </c>
      <c r="E136" s="3">
        <f t="shared" si="8"/>
        <v>-202</v>
      </c>
      <c r="F136" s="3">
        <v>103</v>
      </c>
      <c r="G136" s="3">
        <v>240</v>
      </c>
      <c r="H136" s="3">
        <f t="shared" si="9"/>
        <v>141</v>
      </c>
    </row>
    <row r="137" spans="1:8" x14ac:dyDescent="0.25">
      <c r="A137" s="2" t="s">
        <v>69</v>
      </c>
      <c r="B137" s="2" t="s">
        <v>26</v>
      </c>
      <c r="C137" s="3">
        <v>401</v>
      </c>
      <c r="D137" s="3">
        <v>611</v>
      </c>
      <c r="E137" s="3">
        <f t="shared" si="8"/>
        <v>-210</v>
      </c>
      <c r="F137" s="3">
        <v>102</v>
      </c>
      <c r="G137" s="3">
        <v>243</v>
      </c>
      <c r="H137" s="3">
        <f t="shared" si="9"/>
        <v>135</v>
      </c>
    </row>
    <row r="138" spans="1:8" x14ac:dyDescent="0.25">
      <c r="A138" s="2" t="s">
        <v>69</v>
      </c>
      <c r="B138" s="2" t="s">
        <v>27</v>
      </c>
      <c r="C138" s="3">
        <v>398</v>
      </c>
      <c r="D138" s="3">
        <v>614</v>
      </c>
      <c r="E138" s="3">
        <f t="shared" si="8"/>
        <v>-216</v>
      </c>
      <c r="F138" s="3">
        <v>101</v>
      </c>
      <c r="G138" s="3">
        <v>245</v>
      </c>
      <c r="H138" s="3">
        <f t="shared" si="9"/>
        <v>130</v>
      </c>
    </row>
    <row r="139" spans="1:8" x14ac:dyDescent="0.25">
      <c r="A139" s="2" t="s">
        <v>69</v>
      </c>
      <c r="B139" s="2" t="s">
        <v>28</v>
      </c>
      <c r="C139" s="3">
        <v>396</v>
      </c>
      <c r="D139" s="3">
        <v>618</v>
      </c>
      <c r="E139" s="3">
        <f t="shared" si="8"/>
        <v>-222</v>
      </c>
      <c r="F139" s="3">
        <v>99</v>
      </c>
      <c r="G139" s="3">
        <v>246</v>
      </c>
      <c r="H139" s="3">
        <f t="shared" si="9"/>
        <v>123</v>
      </c>
    </row>
    <row r="140" spans="1:8" x14ac:dyDescent="0.25">
      <c r="A140" s="2" t="s">
        <v>69</v>
      </c>
      <c r="B140" s="2" t="s">
        <v>29</v>
      </c>
      <c r="C140" s="3">
        <v>391</v>
      </c>
      <c r="D140" s="3">
        <v>621</v>
      </c>
      <c r="E140" s="3">
        <f t="shared" si="8"/>
        <v>-230</v>
      </c>
      <c r="F140" s="3">
        <v>99</v>
      </c>
      <c r="G140" s="3">
        <v>246</v>
      </c>
      <c r="H140" s="3">
        <f t="shared" si="9"/>
        <v>115</v>
      </c>
    </row>
    <row r="141" spans="1:8" x14ac:dyDescent="0.25">
      <c r="A141" s="2" t="s">
        <v>69</v>
      </c>
      <c r="B141" s="2" t="s">
        <v>30</v>
      </c>
      <c r="C141" s="3">
        <v>389</v>
      </c>
      <c r="D141" s="3">
        <v>624</v>
      </c>
      <c r="E141" s="3">
        <f t="shared" si="8"/>
        <v>-235</v>
      </c>
      <c r="F141" s="3">
        <v>97</v>
      </c>
      <c r="G141" s="3">
        <v>245</v>
      </c>
      <c r="H141" s="3">
        <f t="shared" si="9"/>
        <v>107</v>
      </c>
    </row>
    <row r="142" spans="1:8" x14ac:dyDescent="0.25">
      <c r="A142" s="2" t="s">
        <v>69</v>
      </c>
      <c r="B142" s="2" t="s">
        <v>31</v>
      </c>
      <c r="C142" s="3">
        <v>386</v>
      </c>
      <c r="D142" s="3">
        <v>626</v>
      </c>
      <c r="E142" s="3">
        <f t="shared" si="8"/>
        <v>-240</v>
      </c>
      <c r="F142" s="3">
        <v>97</v>
      </c>
      <c r="G142" s="3">
        <v>243</v>
      </c>
      <c r="H142" s="3">
        <f t="shared" si="9"/>
        <v>100</v>
      </c>
    </row>
    <row r="143" spans="1:8" x14ac:dyDescent="0.25">
      <c r="A143" s="2" t="s">
        <v>69</v>
      </c>
      <c r="B143" s="2" t="s">
        <v>32</v>
      </c>
      <c r="C143" s="3">
        <v>383</v>
      </c>
      <c r="D143" s="3">
        <v>628</v>
      </c>
      <c r="E143" s="3">
        <f t="shared" si="8"/>
        <v>-245</v>
      </c>
      <c r="F143" s="3">
        <v>95</v>
      </c>
      <c r="G143" s="3">
        <v>241</v>
      </c>
      <c r="H143" s="3">
        <f t="shared" si="9"/>
        <v>91</v>
      </c>
    </row>
    <row r="144" spans="1:8" x14ac:dyDescent="0.25">
      <c r="B144" s="2"/>
      <c r="C144" s="3">
        <f>SUM(C119:C143)</f>
        <v>10007</v>
      </c>
      <c r="D144" s="3">
        <f>SUM(D119:D143)</f>
        <v>14100</v>
      </c>
      <c r="E144" s="3">
        <f>SUM(E119:E143)</f>
        <v>-4093</v>
      </c>
      <c r="F144" s="3">
        <f>SUM(F119:F143)</f>
        <v>2518</v>
      </c>
      <c r="G144" s="3">
        <f>SUM(G119:G143)</f>
        <v>5188</v>
      </c>
      <c r="H144" s="3">
        <f t="shared" si="9"/>
        <v>3613</v>
      </c>
    </row>
    <row r="145" spans="1:8" x14ac:dyDescent="0.25">
      <c r="A145" s="2" t="s">
        <v>70</v>
      </c>
      <c r="B145" s="2" t="s">
        <v>8</v>
      </c>
      <c r="C145" s="3">
        <v>197</v>
      </c>
      <c r="D145" s="3">
        <v>278</v>
      </c>
      <c r="E145" s="3">
        <f t="shared" si="8"/>
        <v>-81</v>
      </c>
      <c r="F145" s="3">
        <v>94</v>
      </c>
      <c r="G145" s="3">
        <v>106</v>
      </c>
      <c r="H145" s="3">
        <f t="shared" si="9"/>
        <v>119</v>
      </c>
    </row>
    <row r="146" spans="1:8" x14ac:dyDescent="0.25">
      <c r="A146" s="2" t="s">
        <v>70</v>
      </c>
      <c r="B146" s="2" t="s">
        <v>9</v>
      </c>
      <c r="C146" s="3">
        <v>199</v>
      </c>
      <c r="D146" s="3">
        <v>281</v>
      </c>
      <c r="E146" s="3">
        <f t="shared" si="8"/>
        <v>-82</v>
      </c>
      <c r="F146" s="3">
        <v>90</v>
      </c>
      <c r="G146" s="3">
        <v>106</v>
      </c>
      <c r="H146" s="3">
        <f t="shared" si="9"/>
        <v>114</v>
      </c>
    </row>
    <row r="147" spans="1:8" x14ac:dyDescent="0.25">
      <c r="A147" s="2" t="s">
        <v>70</v>
      </c>
      <c r="B147" s="2" t="s">
        <v>10</v>
      </c>
      <c r="C147" s="3">
        <v>199</v>
      </c>
      <c r="D147" s="3">
        <v>282</v>
      </c>
      <c r="E147" s="3">
        <f t="shared" si="8"/>
        <v>-83</v>
      </c>
      <c r="F147" s="3">
        <v>86</v>
      </c>
      <c r="G147" s="3">
        <v>109</v>
      </c>
      <c r="H147" s="3">
        <f t="shared" si="9"/>
        <v>112</v>
      </c>
    </row>
    <row r="148" spans="1:8" x14ac:dyDescent="0.25">
      <c r="A148" s="2" t="s">
        <v>70</v>
      </c>
      <c r="B148" s="2" t="s">
        <v>11</v>
      </c>
      <c r="C148" s="3">
        <v>201</v>
      </c>
      <c r="D148" s="3">
        <v>286</v>
      </c>
      <c r="E148" s="3">
        <f t="shared" si="8"/>
        <v>-85</v>
      </c>
      <c r="F148" s="3">
        <v>82</v>
      </c>
      <c r="G148" s="3">
        <v>112</v>
      </c>
      <c r="H148" s="3">
        <f t="shared" si="9"/>
        <v>109</v>
      </c>
    </row>
    <row r="149" spans="1:8" x14ac:dyDescent="0.25">
      <c r="A149" s="2" t="s">
        <v>70</v>
      </c>
      <c r="B149" s="2" t="s">
        <v>12</v>
      </c>
      <c r="C149" s="3">
        <v>202</v>
      </c>
      <c r="D149" s="3">
        <v>290</v>
      </c>
      <c r="E149" s="3">
        <f t="shared" ref="E149:E169" si="10">C149-D149</f>
        <v>-88</v>
      </c>
      <c r="F149" s="3">
        <v>79</v>
      </c>
      <c r="G149" s="3">
        <v>116</v>
      </c>
      <c r="H149" s="3">
        <f t="shared" si="9"/>
        <v>107</v>
      </c>
    </row>
    <row r="150" spans="1:8" x14ac:dyDescent="0.25">
      <c r="A150" s="2" t="s">
        <v>70</v>
      </c>
      <c r="B150" s="2" t="s">
        <v>13</v>
      </c>
      <c r="C150" s="3">
        <v>205</v>
      </c>
      <c r="D150" s="3">
        <v>295</v>
      </c>
      <c r="E150" s="3">
        <f t="shared" si="10"/>
        <v>-90</v>
      </c>
      <c r="F150" s="3">
        <v>74</v>
      </c>
      <c r="G150" s="3">
        <v>120</v>
      </c>
      <c r="H150" s="3">
        <f t="shared" si="9"/>
        <v>104</v>
      </c>
    </row>
    <row r="151" spans="1:8" x14ac:dyDescent="0.25">
      <c r="A151" s="2" t="s">
        <v>70</v>
      </c>
      <c r="B151" s="2" t="s">
        <v>14</v>
      </c>
      <c r="C151" s="3">
        <v>205</v>
      </c>
      <c r="D151" s="3">
        <v>299</v>
      </c>
      <c r="E151" s="3">
        <f t="shared" si="10"/>
        <v>-94</v>
      </c>
      <c r="F151" s="3">
        <v>73</v>
      </c>
      <c r="G151" s="3">
        <v>125</v>
      </c>
      <c r="H151" s="3">
        <f t="shared" si="9"/>
        <v>104</v>
      </c>
    </row>
    <row r="152" spans="1:8" x14ac:dyDescent="0.25">
      <c r="A152" s="2" t="s">
        <v>70</v>
      </c>
      <c r="B152" s="2" t="s">
        <v>15</v>
      </c>
      <c r="C152" s="3">
        <v>209</v>
      </c>
      <c r="D152" s="3">
        <v>305</v>
      </c>
      <c r="E152" s="3">
        <f t="shared" si="10"/>
        <v>-96</v>
      </c>
      <c r="F152" s="3">
        <v>74</v>
      </c>
      <c r="G152" s="3">
        <v>128</v>
      </c>
      <c r="H152" s="3">
        <f t="shared" si="9"/>
        <v>106</v>
      </c>
    </row>
    <row r="153" spans="1:8" x14ac:dyDescent="0.25">
      <c r="A153" s="2" t="s">
        <v>70</v>
      </c>
      <c r="B153" s="2" t="s">
        <v>16</v>
      </c>
      <c r="C153" s="3">
        <v>210</v>
      </c>
      <c r="D153" s="3">
        <v>310</v>
      </c>
      <c r="E153" s="3">
        <f t="shared" si="10"/>
        <v>-100</v>
      </c>
      <c r="F153" s="3">
        <v>74</v>
      </c>
      <c r="G153" s="3">
        <v>133</v>
      </c>
      <c r="H153" s="3">
        <f t="shared" si="9"/>
        <v>107</v>
      </c>
    </row>
    <row r="154" spans="1:8" x14ac:dyDescent="0.25">
      <c r="A154" s="2" t="s">
        <v>70</v>
      </c>
      <c r="B154" s="2" t="s">
        <v>17</v>
      </c>
      <c r="C154" s="3">
        <v>212</v>
      </c>
      <c r="D154" s="3">
        <v>315</v>
      </c>
      <c r="E154" s="3">
        <f t="shared" si="10"/>
        <v>-103</v>
      </c>
      <c r="F154" s="3">
        <v>74</v>
      </c>
      <c r="G154" s="3">
        <v>137</v>
      </c>
      <c r="H154" s="3">
        <f t="shared" si="9"/>
        <v>108</v>
      </c>
    </row>
    <row r="155" spans="1:8" x14ac:dyDescent="0.25">
      <c r="A155" s="2" t="s">
        <v>70</v>
      </c>
      <c r="B155" s="2" t="s">
        <v>18</v>
      </c>
      <c r="C155" s="3">
        <v>213</v>
      </c>
      <c r="D155" s="3">
        <v>321</v>
      </c>
      <c r="E155" s="3">
        <f t="shared" si="10"/>
        <v>-108</v>
      </c>
      <c r="F155" s="3">
        <v>74</v>
      </c>
      <c r="G155" s="3">
        <v>141</v>
      </c>
      <c r="H155" s="3">
        <f t="shared" si="9"/>
        <v>107</v>
      </c>
    </row>
    <row r="156" spans="1:8" x14ac:dyDescent="0.25">
      <c r="A156" s="2" t="s">
        <v>70</v>
      </c>
      <c r="B156" s="2" t="s">
        <v>19</v>
      </c>
      <c r="C156" s="3">
        <v>213</v>
      </c>
      <c r="D156" s="3">
        <v>325</v>
      </c>
      <c r="E156" s="3">
        <f t="shared" si="10"/>
        <v>-112</v>
      </c>
      <c r="F156" s="3">
        <v>72</v>
      </c>
      <c r="G156" s="3">
        <v>144</v>
      </c>
      <c r="H156" s="3">
        <f t="shared" si="9"/>
        <v>104</v>
      </c>
    </row>
    <row r="157" spans="1:8" x14ac:dyDescent="0.25">
      <c r="A157" s="2" t="s">
        <v>70</v>
      </c>
      <c r="B157" s="2" t="s">
        <v>20</v>
      </c>
      <c r="C157" s="3">
        <v>213</v>
      </c>
      <c r="D157" s="3">
        <v>331</v>
      </c>
      <c r="E157" s="3">
        <f t="shared" si="10"/>
        <v>-118</v>
      </c>
      <c r="F157" s="3">
        <v>72</v>
      </c>
      <c r="G157" s="3">
        <v>147</v>
      </c>
      <c r="H157" s="3">
        <f t="shared" si="9"/>
        <v>101</v>
      </c>
    </row>
    <row r="158" spans="1:8" x14ac:dyDescent="0.25">
      <c r="A158" s="2" t="s">
        <v>70</v>
      </c>
      <c r="B158" s="2" t="s">
        <v>21</v>
      </c>
      <c r="C158" s="3">
        <v>213</v>
      </c>
      <c r="D158" s="3">
        <v>336</v>
      </c>
      <c r="E158" s="3">
        <f t="shared" si="10"/>
        <v>-123</v>
      </c>
      <c r="F158" s="3">
        <v>72</v>
      </c>
      <c r="G158" s="3">
        <v>150</v>
      </c>
      <c r="H158" s="3">
        <f t="shared" si="9"/>
        <v>99</v>
      </c>
    </row>
    <row r="159" spans="1:8" x14ac:dyDescent="0.25">
      <c r="A159" s="2" t="s">
        <v>70</v>
      </c>
      <c r="B159" s="2" t="s">
        <v>22</v>
      </c>
      <c r="C159" s="3">
        <v>213</v>
      </c>
      <c r="D159" s="3">
        <v>339</v>
      </c>
      <c r="E159" s="3">
        <f t="shared" si="10"/>
        <v>-126</v>
      </c>
      <c r="F159" s="3">
        <v>70</v>
      </c>
      <c r="G159" s="3">
        <v>152</v>
      </c>
      <c r="H159" s="3">
        <f t="shared" si="9"/>
        <v>96</v>
      </c>
    </row>
    <row r="160" spans="1:8" x14ac:dyDescent="0.25">
      <c r="A160" s="2" t="s">
        <v>70</v>
      </c>
      <c r="B160" s="2" t="s">
        <v>23</v>
      </c>
      <c r="C160" s="3">
        <v>213</v>
      </c>
      <c r="D160" s="3">
        <v>344</v>
      </c>
      <c r="E160" s="3">
        <f t="shared" si="10"/>
        <v>-131</v>
      </c>
      <c r="F160" s="3">
        <v>70</v>
      </c>
      <c r="G160" s="3">
        <v>154</v>
      </c>
      <c r="H160" s="3">
        <f t="shared" si="9"/>
        <v>93</v>
      </c>
    </row>
    <row r="161" spans="1:8" x14ac:dyDescent="0.25">
      <c r="A161" s="2" t="s">
        <v>70</v>
      </c>
      <c r="B161" s="2" t="s">
        <v>24</v>
      </c>
      <c r="C161" s="3">
        <v>211</v>
      </c>
      <c r="D161" s="3">
        <v>347</v>
      </c>
      <c r="E161" s="3">
        <f t="shared" si="10"/>
        <v>-136</v>
      </c>
      <c r="F161" s="3">
        <v>70</v>
      </c>
      <c r="G161" s="3">
        <v>156</v>
      </c>
      <c r="H161" s="3">
        <f t="shared" si="9"/>
        <v>90</v>
      </c>
    </row>
    <row r="162" spans="1:8" x14ac:dyDescent="0.25">
      <c r="A162" s="2" t="s">
        <v>70</v>
      </c>
      <c r="B162" s="2" t="s">
        <v>25</v>
      </c>
      <c r="C162" s="3">
        <v>211</v>
      </c>
      <c r="D162" s="3">
        <v>351</v>
      </c>
      <c r="E162" s="3">
        <f t="shared" si="10"/>
        <v>-140</v>
      </c>
      <c r="F162" s="3">
        <v>68</v>
      </c>
      <c r="G162" s="3">
        <v>159</v>
      </c>
      <c r="H162" s="3">
        <f t="shared" si="9"/>
        <v>87</v>
      </c>
    </row>
    <row r="163" spans="1:8" x14ac:dyDescent="0.25">
      <c r="A163" s="2" t="s">
        <v>70</v>
      </c>
      <c r="B163" s="2" t="s">
        <v>26</v>
      </c>
      <c r="C163" s="3">
        <v>209</v>
      </c>
      <c r="D163" s="3">
        <v>354</v>
      </c>
      <c r="E163" s="3">
        <f t="shared" si="10"/>
        <v>-145</v>
      </c>
      <c r="F163" s="3">
        <v>68</v>
      </c>
      <c r="G163" s="3">
        <v>159</v>
      </c>
      <c r="H163" s="3">
        <f t="shared" si="9"/>
        <v>82</v>
      </c>
    </row>
    <row r="164" spans="1:8" x14ac:dyDescent="0.25">
      <c r="A164" s="2" t="s">
        <v>70</v>
      </c>
      <c r="B164" s="2" t="s">
        <v>27</v>
      </c>
      <c r="C164" s="3">
        <v>209</v>
      </c>
      <c r="D164" s="3">
        <v>357</v>
      </c>
      <c r="E164" s="3">
        <f t="shared" si="10"/>
        <v>-148</v>
      </c>
      <c r="F164" s="3">
        <v>67</v>
      </c>
      <c r="G164" s="3">
        <v>160</v>
      </c>
      <c r="H164" s="3">
        <f t="shared" si="9"/>
        <v>79</v>
      </c>
    </row>
    <row r="165" spans="1:8" x14ac:dyDescent="0.25">
      <c r="A165" s="2" t="s">
        <v>70</v>
      </c>
      <c r="B165" s="2" t="s">
        <v>28</v>
      </c>
      <c r="C165" s="3">
        <v>206</v>
      </c>
      <c r="D165" s="3">
        <v>359</v>
      </c>
      <c r="E165" s="3">
        <f t="shared" si="10"/>
        <v>-153</v>
      </c>
      <c r="F165" s="3">
        <v>66</v>
      </c>
      <c r="G165" s="3">
        <v>162</v>
      </c>
      <c r="H165" s="3">
        <f t="shared" si="9"/>
        <v>75</v>
      </c>
    </row>
    <row r="166" spans="1:8" x14ac:dyDescent="0.25">
      <c r="A166" s="2" t="s">
        <v>70</v>
      </c>
      <c r="B166" s="2" t="s">
        <v>29</v>
      </c>
      <c r="C166" s="3">
        <v>205</v>
      </c>
      <c r="D166" s="3">
        <v>363</v>
      </c>
      <c r="E166" s="3">
        <f t="shared" si="10"/>
        <v>-158</v>
      </c>
      <c r="F166" s="3">
        <v>66</v>
      </c>
      <c r="G166" s="3">
        <v>162</v>
      </c>
      <c r="H166" s="3">
        <f t="shared" si="9"/>
        <v>70</v>
      </c>
    </row>
    <row r="167" spans="1:8" x14ac:dyDescent="0.25">
      <c r="A167" s="2" t="s">
        <v>70</v>
      </c>
      <c r="B167" s="2" t="s">
        <v>30</v>
      </c>
      <c r="C167" s="3">
        <v>204</v>
      </c>
      <c r="D167" s="3">
        <v>365</v>
      </c>
      <c r="E167" s="3">
        <f t="shared" si="10"/>
        <v>-161</v>
      </c>
      <c r="F167" s="3">
        <v>64</v>
      </c>
      <c r="G167" s="3">
        <v>163</v>
      </c>
      <c r="H167" s="3">
        <f t="shared" si="9"/>
        <v>66</v>
      </c>
    </row>
    <row r="168" spans="1:8" x14ac:dyDescent="0.25">
      <c r="A168" s="2" t="s">
        <v>70</v>
      </c>
      <c r="B168" s="2" t="s">
        <v>31</v>
      </c>
      <c r="C168" s="3">
        <v>202</v>
      </c>
      <c r="D168" s="3">
        <v>368</v>
      </c>
      <c r="E168" s="3">
        <f t="shared" si="10"/>
        <v>-166</v>
      </c>
      <c r="F168" s="3">
        <v>65</v>
      </c>
      <c r="G168" s="3">
        <v>162</v>
      </c>
      <c r="H168" s="3">
        <f t="shared" si="9"/>
        <v>61</v>
      </c>
    </row>
    <row r="169" spans="1:8" x14ac:dyDescent="0.25">
      <c r="A169" s="2" t="s">
        <v>70</v>
      </c>
      <c r="B169" s="2" t="s">
        <v>32</v>
      </c>
      <c r="C169" s="3">
        <v>201</v>
      </c>
      <c r="D169" s="3">
        <v>370</v>
      </c>
      <c r="E169" s="3">
        <f t="shared" si="10"/>
        <v>-169</v>
      </c>
      <c r="F169" s="3">
        <v>63</v>
      </c>
      <c r="G169" s="3">
        <v>161</v>
      </c>
      <c r="H169" s="3">
        <f t="shared" ref="H169:H170" si="11">E169+F169+G169</f>
        <v>55</v>
      </c>
    </row>
    <row r="170" spans="1:8" x14ac:dyDescent="0.25">
      <c r="C170" s="3">
        <f>SUM(C145:C169)</f>
        <v>5175</v>
      </c>
      <c r="D170" s="3">
        <f>SUM(D145:D169)</f>
        <v>8171</v>
      </c>
      <c r="E170" s="3">
        <f>SUM(E145:E169)</f>
        <v>-2996</v>
      </c>
      <c r="F170" s="3">
        <f>SUM(F145:F169)</f>
        <v>1827</v>
      </c>
      <c r="G170" s="3">
        <f>SUM(G145:G169)</f>
        <v>3524</v>
      </c>
      <c r="H170" s="3">
        <f t="shared" si="11"/>
        <v>2355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Fodt</vt:lpstr>
      <vt:lpstr>Befolkningsframskrivinger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Kjetil Gunnerud Kristoffersen</dc:creator>
  <cp:lastModifiedBy>Rasmus Palmqvist</cp:lastModifiedBy>
  <dcterms:created xsi:type="dcterms:W3CDTF">2024-06-18T09:46:25Z</dcterms:created>
  <dcterms:modified xsi:type="dcterms:W3CDTF">2026-08-11T07:40:24Z</dcterms:modified>
</cp:coreProperties>
</file>
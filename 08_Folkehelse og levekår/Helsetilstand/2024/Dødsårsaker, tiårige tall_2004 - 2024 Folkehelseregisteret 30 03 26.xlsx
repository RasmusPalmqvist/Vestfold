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estfoldfylke-my.sharepoint.com/personal/ellen_just_hansen_vestfoldfylke_no/Documents/Dokumenter/GitHub/Vestfold/08_Folkehelse og levekår/Helsetilstand/2024/"/>
    </mc:Choice>
  </mc:AlternateContent>
  <xr:revisionPtr revIDLastSave="9" documentId="8_{D051A5B9-A821-4AA7-A1E3-66F14EB43023}" xr6:coauthVersionLast="47" xr6:coauthVersionMax="47" xr10:uidLastSave="{5838A30A-AE68-4004-B374-CFD52087E80E}"/>
  <bookViews>
    <workbookView xWindow="-23148" yWindow="-108" windowWidth="23256" windowHeight="13896" xr2:uid="{00000000-000D-0000-FFFF-FFFF00000000}"/>
  </bookViews>
  <sheets>
    <sheet name="Ark1" sheetId="2" r:id="rId1"/>
    <sheet name="FHI statistikk" sheetId="1" r:id="rId2"/>
  </sheets>
  <calcPr calcId="191029"/>
  <pivotCaches>
    <pivotCache cacheId="27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<sst xmlns="http://schemas.openxmlformats.org/spreadsheetml/2006/main" count="62" uniqueCount="25">
  <si>
    <t>Geografi</t>
  </si>
  <si>
    <t>År</t>
  </si>
  <si>
    <t>per 100 000, standardisert</t>
  </si>
  <si>
    <t>Hele landet</t>
  </si>
  <si>
    <t>1999-2008</t>
  </si>
  <si>
    <t>2001-2010</t>
  </si>
  <si>
    <t>2003-2012</t>
  </si>
  <si>
    <t>2005-2014</t>
  </si>
  <si>
    <t>2007-2016</t>
  </si>
  <si>
    <t>2009-2018</t>
  </si>
  <si>
    <t>2011-2020</t>
  </si>
  <si>
    <t>2013-2022</t>
  </si>
  <si>
    <t>2015-2024</t>
  </si>
  <si>
    <t>Vestfold</t>
  </si>
  <si>
    <t>Tegnforklaringer</t>
  </si>
  <si>
    <t>..</t>
  </si>
  <si>
    <t>Manglende data</t>
  </si>
  <si>
    <t>.</t>
  </si>
  <si>
    <t>Lar seg ikke beregne</t>
  </si>
  <si>
    <t>:</t>
  </si>
  <si>
    <t>Anonymisert eller skjult av andre årsaker</t>
  </si>
  <si>
    <t>Radetiketter</t>
  </si>
  <si>
    <t>Totalsum</t>
  </si>
  <si>
    <t>Summer av per 100 000, standardisert</t>
  </si>
  <si>
    <t>Kolonneetiketter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</si>
</sst>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 % – uthevingsfarge 1" xfId="19" builtinId="30" customBuiltin="1"/>
    <cellStyle name="20 % – uthevingsfarge 2" xfId="23" builtinId="34" customBuiltin="1"/>
    <cellStyle name="20 % – uthevingsfarge 3" xfId="27" builtinId="38" customBuiltin="1"/>
    <cellStyle name="20 % – uthevingsfarge 4" xfId="31" builtinId="42" customBuiltin="1"/>
    <cellStyle name="20 % – uthevingsfarge 5" xfId="35" builtinId="46" customBuiltin="1"/>
    <cellStyle name="20 % – uthevingsfarge 6" xfId="39" builtinId="50" customBuiltin="1"/>
    <cellStyle name="40 % – uthevingsfarge 1" xfId="20" builtinId="31" customBuiltin="1"/>
    <cellStyle name="40 % – uthevingsfarge 2" xfId="24" builtinId="35" customBuiltin="1"/>
    <cellStyle name="40 % – uthevingsfarge 3" xfId="28" builtinId="39" customBuiltin="1"/>
    <cellStyle name="40 % – uthevingsfarge 4" xfId="32" builtinId="43" customBuiltin="1"/>
    <cellStyle name="40 % – uthevingsfarge 5" xfId="36" builtinId="47" customBuiltin="1"/>
    <cellStyle name="40 % – uthevingsfarge 6" xfId="40" builtinId="51" customBuiltin="1"/>
    <cellStyle name="60 % – uthevingsfarge 1" xfId="21" builtinId="32" customBuiltin="1"/>
    <cellStyle name="60 % – uthevingsfarge 2" xfId="25" builtinId="36" customBuiltin="1"/>
    <cellStyle name="60 % – uthevingsfarge 3" xfId="29" builtinId="40" customBuiltin="1"/>
    <cellStyle name="60 % – uthevingsfarge 4" xfId="33" builtinId="44" customBuiltin="1"/>
    <cellStyle name="60 % – uthevingsfarge 5" xfId="37" builtinId="48" customBuiltin="1"/>
    <cellStyle name="60 % – uthevingsfarge 6" xfId="41" builtinId="52" customBuiltin="1"/>
    <cellStyle name="Beregning" xfId="11" builtinId="22" customBuiltin="1"/>
    <cellStyle name="Dårlig" xfId="7" builtinId="27" customBuiltin="1"/>
    <cellStyle name="Forklarende tekst" xfId="16" builtinId="53" customBuiltin="1"/>
    <cellStyle name="God" xfId="6" builtinId="26" customBuiltin="1"/>
    <cellStyle name="Inndata" xfId="9" builtinId="20" customBuiltin="1"/>
    <cellStyle name="Koblet celle" xfId="12" builtinId="24" customBuiltin="1"/>
    <cellStyle name="Kontrollcelle" xfId="13" builtinId="23" customBuiltin="1"/>
    <cellStyle name="Merknad" xfId="15" builtinId="10" customBuiltin="1"/>
    <cellStyle name="Normal" xfId="0" builtinId="0"/>
    <cellStyle name="Nøytral" xfId="8" builtinId="28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Tittel" xfId="1" builtinId="15" customBuiltin="1"/>
    <cellStyle name="Totalt" xfId="17" builtinId="25" customBuiltin="1"/>
    <cellStyle name="Utdata" xfId="10" builtinId="21" customBuiltin="1"/>
    <cellStyle name="Uthevingsfarge1" xfId="18" builtinId="29" customBuiltin="1"/>
    <cellStyle name="Uthevingsfarge2" xfId="22" builtinId="33" customBuiltin="1"/>
    <cellStyle name="Uthevingsfarge3" xfId="26" builtinId="37" customBuiltin="1"/>
    <cellStyle name="Uthevingsfarge4" xfId="30" builtinId="41" customBuiltin="1"/>
    <cellStyle name="Uthevingsfarge5" xfId="34" builtinId="45" customBuiltin="1"/>
    <cellStyle name="Uthevingsfarge6" xfId="38" builtinId="49" customBuiltin="1"/>
    <cellStyle name="Varsel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len Just Hansen" refreshedDate="46111.435146412034" createdVersion="8" refreshedVersion="8" minRefreshableVersion="3" recordCount="18" xr:uid="{3DC6F644-D23C-434B-B4BD-F1B63EC8476D}">
  <cacheSource type="worksheet">
    <worksheetSource ref="A1:C19" sheet="FHI statistikk"/>
  </cacheSource>
  <cacheFields count="3">
    <cacheField name="Geografi" numFmtId="0">
      <sharedItems count="2">
        <s v="Hele landet"/>
        <s v="Vestfold"/>
      </sharedItems>
    </cacheField>
    <cacheField name="År" numFmtId="0">
      <sharedItems count="9">
        <s v="1999-2008"/>
        <s v="2001-2010"/>
        <s v="2003-2012"/>
        <s v="2005-2014"/>
        <s v="2007-2016"/>
        <s v="2009-2018"/>
        <s v="2011-2020"/>
        <s v="2013-2022"/>
        <s v="2015-2024"/>
      </sharedItems>
    </cacheField>
    <cacheField name="per 100 000, standardisert" numFmtId="1">
      <sharedItems containsSemiMixedTypes="0" containsString="0" containsNumber="1" minValue="779.26295024415799" maxValue="1026.63925769746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x v="0"/>
    <n v="1011.0670282999901"/>
  </r>
  <r>
    <x v="0"/>
    <x v="1"/>
    <n v="967.18777062283004"/>
  </r>
  <r>
    <x v="0"/>
    <x v="2"/>
    <n v="927.93149783624403"/>
  </r>
  <r>
    <x v="0"/>
    <x v="3"/>
    <n v="897.12340908493104"/>
  </r>
  <r>
    <x v="0"/>
    <x v="4"/>
    <n v="870.673048932803"/>
  </r>
  <r>
    <x v="0"/>
    <x v="5"/>
    <n v="842.67019321263695"/>
  </r>
  <r>
    <x v="0"/>
    <x v="6"/>
    <n v="815.93639906341195"/>
  </r>
  <r>
    <x v="0"/>
    <x v="7"/>
    <n v="799.01213482367598"/>
  </r>
  <r>
    <x v="0"/>
    <x v="8"/>
    <n v="781.89581378024798"/>
  </r>
  <r>
    <x v="1"/>
    <x v="0"/>
    <n v="1026.6392576974699"/>
  </r>
  <r>
    <x v="1"/>
    <x v="1"/>
    <n v="977.65095563992895"/>
  </r>
  <r>
    <x v="1"/>
    <x v="2"/>
    <n v="937.27916025044897"/>
  </r>
  <r>
    <x v="1"/>
    <x v="3"/>
    <n v="905.60774969564204"/>
  </r>
  <r>
    <x v="1"/>
    <x v="4"/>
    <n v="878.13315251250003"/>
  </r>
  <r>
    <x v="1"/>
    <x v="5"/>
    <n v="846.44291302567206"/>
  </r>
  <r>
    <x v="1"/>
    <x v="6"/>
    <n v="814.47388356235103"/>
  </r>
  <r>
    <x v="1"/>
    <x v="7"/>
    <n v="799.19488563275604"/>
  </r>
  <r>
    <x v="1"/>
    <x v="8"/>
    <n v="779.262950244157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9475F1-018E-4AB5-A7A3-63DE53A8D91C}" name="Pivottabell7" cacheId="27" applyNumberFormats="0" applyBorderFormats="0" applyFontFormats="0" applyPatternFormats="0" applyAlignmentFormats="0" applyWidthHeightFormats="1" dataCaption="Verdier" updatedVersion="8" minRefreshableVersion="3" useAutoFormatting="1" itemPrintTitles="1" createdVersion="8" indent="0" outline="1" outlineData="1" multipleFieldFilters="0">
  <location ref="A3:D14" firstHeaderRow="1" firstDataRow="2" firstDataCol="1"/>
  <pivotFields count="3">
    <pivotField axis="axisCol" showAll="0">
      <items count="3">
        <item x="0"/>
        <item x="1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numFmtId="1"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mer av per 100 000, standardisert" fld="2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46DD2-9910-4168-8D13-124653FCB130}">
  <dimension ref="A3:D14"/>
  <sheetViews>
    <sheetView tabSelected="1" workbookViewId="0">
      <selection activeCell="A3" sqref="A3"/>
    </sheetView>
  </sheetViews>
  <sheetFormatPr baseColWidth="10" defaultRowHeight="14.4" x14ac:dyDescent="0.3"/>
  <cols>
    <col min="1" max="1" width="32.6640625" bestFit="1" customWidth="1"/>
    <col min="2" max="2" width="17.109375" bestFit="1" customWidth="1"/>
    <col min="3" max="3" width="7.88671875" bestFit="1" customWidth="1"/>
    <col min="4" max="4" width="8.6640625" bestFit="1" customWidth="1"/>
  </cols>
  <sheetData>
    <row r="3" spans="1:4" x14ac:dyDescent="0.3">
      <c r="A3" s="2" t="s">
        <v>23</v>
      </c>
      <c r="B3" s="2" t="s">
        <v>24</v>
      </c>
    </row>
    <row r="4" spans="1:4" x14ac:dyDescent="0.3">
      <c r="A4" s="2" t="s">
        <v>21</v>
      </c>
      <c r="B4" t="s">
        <v>3</v>
      </c>
      <c r="C4" t="s">
        <v>13</v>
      </c>
      <c r="D4" t="s">
        <v>22</v>
      </c>
    </row>
    <row r="5" spans="1:4" x14ac:dyDescent="0.3">
      <c r="A5" s="3" t="s">
        <v>4</v>
      </c>
      <c r="B5" s="1">
        <v>1011.0670282999901</v>
      </c>
      <c r="C5" s="1">
        <v>1026.6392576974699</v>
      </c>
      <c r="D5" s="1">
        <v>2037.7062859974599</v>
      </c>
    </row>
    <row r="6" spans="1:4" x14ac:dyDescent="0.3">
      <c r="A6" s="3" t="s">
        <v>5</v>
      </c>
      <c r="B6" s="1">
        <v>967.18777062283004</v>
      </c>
      <c r="C6" s="1">
        <v>977.65095563992895</v>
      </c>
      <c r="D6" s="1">
        <v>1944.8387262627589</v>
      </c>
    </row>
    <row r="7" spans="1:4" x14ac:dyDescent="0.3">
      <c r="A7" s="3" t="s">
        <v>6</v>
      </c>
      <c r="B7" s="1">
        <v>927.93149783624403</v>
      </c>
      <c r="C7" s="1">
        <v>937.27916025044897</v>
      </c>
      <c r="D7" s="1">
        <v>1865.210658086693</v>
      </c>
    </row>
    <row r="8" spans="1:4" x14ac:dyDescent="0.3">
      <c r="A8" s="3" t="s">
        <v>7</v>
      </c>
      <c r="B8" s="1">
        <v>897.12340908493104</v>
      </c>
      <c r="C8" s="1">
        <v>905.60774969564204</v>
      </c>
      <c r="D8" s="1">
        <v>1802.731158780573</v>
      </c>
    </row>
    <row r="9" spans="1:4" x14ac:dyDescent="0.3">
      <c r="A9" s="3" t="s">
        <v>8</v>
      </c>
      <c r="B9" s="1">
        <v>870.673048932803</v>
      </c>
      <c r="C9" s="1">
        <v>878.13315251250003</v>
      </c>
      <c r="D9" s="1">
        <v>1748.806201445303</v>
      </c>
    </row>
    <row r="10" spans="1:4" x14ac:dyDescent="0.3">
      <c r="A10" s="3" t="s">
        <v>9</v>
      </c>
      <c r="B10" s="1">
        <v>842.67019321263695</v>
      </c>
      <c r="C10" s="1">
        <v>846.44291302567206</v>
      </c>
      <c r="D10" s="1">
        <v>1689.113106238309</v>
      </c>
    </row>
    <row r="11" spans="1:4" x14ac:dyDescent="0.3">
      <c r="A11" s="3" t="s">
        <v>10</v>
      </c>
      <c r="B11" s="1">
        <v>815.93639906341195</v>
      </c>
      <c r="C11" s="1">
        <v>814.47388356235103</v>
      </c>
      <c r="D11" s="1">
        <v>1630.4102826257631</v>
      </c>
    </row>
    <row r="12" spans="1:4" x14ac:dyDescent="0.3">
      <c r="A12" s="3" t="s">
        <v>11</v>
      </c>
      <c r="B12" s="1">
        <v>799.01213482367598</v>
      </c>
      <c r="C12" s="1">
        <v>799.19488563275604</v>
      </c>
      <c r="D12" s="1">
        <v>1598.207020456432</v>
      </c>
    </row>
    <row r="13" spans="1:4" x14ac:dyDescent="0.3">
      <c r="A13" s="3" t="s">
        <v>12</v>
      </c>
      <c r="B13" s="1">
        <v>781.89581378024798</v>
      </c>
      <c r="C13" s="1">
        <v>779.26295024415799</v>
      </c>
      <c r="D13" s="1">
        <v>1561.1587640244061</v>
      </c>
    </row>
    <row r="14" spans="1:4" x14ac:dyDescent="0.3">
      <c r="A14" s="3" t="s">
        <v>22</v>
      </c>
      <c r="B14" s="1">
        <v>7913.4972956567717</v>
      </c>
      <c r="C14" s="1">
        <v>7964.6849082609269</v>
      </c>
      <c r="D14" s="1">
        <v>15878.182203917695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workbookViewId="0">
      <selection sqref="A1:C19"/>
    </sheetView>
  </sheetViews>
  <sheetFormatPr baseColWidth="10" defaultRowHeight="14.4" x14ac:dyDescent="0.3"/>
  <cols>
    <col min="3" max="3" width="11.5546875" style="1"/>
  </cols>
  <sheetData>
    <row r="1" spans="1:3" x14ac:dyDescent="0.3">
      <c r="A1" t="s">
        <v>0</v>
      </c>
      <c r="B1" t="s">
        <v>1</v>
      </c>
      <c r="C1" s="1" t="s">
        <v>2</v>
      </c>
    </row>
    <row r="2" spans="1:3" x14ac:dyDescent="0.3">
      <c r="A2" t="s">
        <v>3</v>
      </c>
      <c r="B2" t="s">
        <v>4</v>
      </c>
      <c r="C2" s="1">
        <v>1011.0670282999901</v>
      </c>
    </row>
    <row r="3" spans="1:3" x14ac:dyDescent="0.3">
      <c r="A3" t="s">
        <v>3</v>
      </c>
      <c r="B3" t="s">
        <v>5</v>
      </c>
      <c r="C3" s="1">
        <v>967.18777062283004</v>
      </c>
    </row>
    <row r="4" spans="1:3" x14ac:dyDescent="0.3">
      <c r="A4" t="s">
        <v>3</v>
      </c>
      <c r="B4" t="s">
        <v>6</v>
      </c>
      <c r="C4" s="1">
        <v>927.93149783624403</v>
      </c>
    </row>
    <row r="5" spans="1:3" x14ac:dyDescent="0.3">
      <c r="A5" t="s">
        <v>3</v>
      </c>
      <c r="B5" t="s">
        <v>7</v>
      </c>
      <c r="C5" s="1">
        <v>897.12340908493104</v>
      </c>
    </row>
    <row r="6" spans="1:3" x14ac:dyDescent="0.3">
      <c r="A6" t="s">
        <v>3</v>
      </c>
      <c r="B6" t="s">
        <v>8</v>
      </c>
      <c r="C6" s="1">
        <v>870.673048932803</v>
      </c>
    </row>
    <row r="7" spans="1:3" x14ac:dyDescent="0.3">
      <c r="A7" t="s">
        <v>3</v>
      </c>
      <c r="B7" t="s">
        <v>9</v>
      </c>
      <c r="C7" s="1">
        <v>842.67019321263695</v>
      </c>
    </row>
    <row r="8" spans="1:3" x14ac:dyDescent="0.3">
      <c r="A8" t="s">
        <v>3</v>
      </c>
      <c r="B8" t="s">
        <v>10</v>
      </c>
      <c r="C8" s="1">
        <v>815.93639906341195</v>
      </c>
    </row>
    <row r="9" spans="1:3" x14ac:dyDescent="0.3">
      <c r="A9" t="s">
        <v>3</v>
      </c>
      <c r="B9" t="s">
        <v>11</v>
      </c>
      <c r="C9" s="1">
        <v>799.01213482367598</v>
      </c>
    </row>
    <row r="10" spans="1:3" x14ac:dyDescent="0.3">
      <c r="A10" t="s">
        <v>3</v>
      </c>
      <c r="B10" t="s">
        <v>12</v>
      </c>
      <c r="C10" s="1">
        <v>781.89581378024798</v>
      </c>
    </row>
    <row r="11" spans="1:3" x14ac:dyDescent="0.3">
      <c r="A11" t="s">
        <v>13</v>
      </c>
      <c r="B11" t="s">
        <v>4</v>
      </c>
      <c r="C11" s="1">
        <v>1026.6392576974699</v>
      </c>
    </row>
    <row r="12" spans="1:3" x14ac:dyDescent="0.3">
      <c r="A12" t="s">
        <v>13</v>
      </c>
      <c r="B12" t="s">
        <v>5</v>
      </c>
      <c r="C12" s="1">
        <v>977.65095563992895</v>
      </c>
    </row>
    <row r="13" spans="1:3" x14ac:dyDescent="0.3">
      <c r="A13" t="s">
        <v>13</v>
      </c>
      <c r="B13" t="s">
        <v>6</v>
      </c>
      <c r="C13" s="1">
        <v>937.27916025044897</v>
      </c>
    </row>
    <row r="14" spans="1:3" x14ac:dyDescent="0.3">
      <c r="A14" t="s">
        <v>13</v>
      </c>
      <c r="B14" t="s">
        <v>7</v>
      </c>
      <c r="C14" s="1">
        <v>905.60774969564204</v>
      </c>
    </row>
    <row r="15" spans="1:3" x14ac:dyDescent="0.3">
      <c r="A15" t="s">
        <v>13</v>
      </c>
      <c r="B15" t="s">
        <v>8</v>
      </c>
      <c r="C15" s="1">
        <v>878.13315251250003</v>
      </c>
    </row>
    <row r="16" spans="1:3" x14ac:dyDescent="0.3">
      <c r="A16" t="s">
        <v>13</v>
      </c>
      <c r="B16" t="s">
        <v>9</v>
      </c>
      <c r="C16" s="1">
        <v>846.44291302567206</v>
      </c>
    </row>
    <row r="17" spans="1:3" x14ac:dyDescent="0.3">
      <c r="A17" t="s">
        <v>13</v>
      </c>
      <c r="B17" t="s">
        <v>10</v>
      </c>
      <c r="C17" s="1">
        <v>814.47388356235103</v>
      </c>
    </row>
    <row r="18" spans="1:3" x14ac:dyDescent="0.3">
      <c r="A18" t="s">
        <v>13</v>
      </c>
      <c r="B18" t="s">
        <v>11</v>
      </c>
      <c r="C18" s="1">
        <v>799.19488563275604</v>
      </c>
    </row>
    <row r="19" spans="1:3" x14ac:dyDescent="0.3">
      <c r="A19" t="s">
        <v>13</v>
      </c>
      <c r="B19" t="s">
        <v>12</v>
      </c>
      <c r="C19" s="1">
        <v>779.26295024415799</v>
      </c>
    </row>
    <row r="23" spans="1:3" x14ac:dyDescent="0.3">
      <c r="A23" t="s">
        <v>14</v>
      </c>
    </row>
    <row r="24" spans="1:3" x14ac:dyDescent="0.3">
      <c r="A24" t="s">
        <v>15</v>
      </c>
      <c r="B24" t="s">
        <v>16</v>
      </c>
    </row>
    <row r="25" spans="1:3" x14ac:dyDescent="0.3">
      <c r="A25" t="s">
        <v>17</v>
      </c>
      <c r="B25" t="s">
        <v>18</v>
      </c>
    </row>
    <row r="26" spans="1:3" x14ac:dyDescent="0.3">
      <c r="A26" t="s">
        <v>19</v>
      </c>
      <c r="B2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Ark1</vt:lpstr>
      <vt:lpstr>FHI statistikk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 Just Hansen</dc:creator>
  <cp:lastModifiedBy>Ellen Just Hansen</cp:lastModifiedBy>
  <dcterms:created xsi:type="dcterms:W3CDTF">2026-03-30T08:24:56Z</dcterms:created>
  <dcterms:modified xsi:type="dcterms:W3CDTF">2026-03-30T08:27:01Z</dcterms:modified>
</cp:coreProperties>
</file>